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E:\李璟钰\博士\小论文\矿料\数据分组\"/>
    </mc:Choice>
  </mc:AlternateContent>
  <xr:revisionPtr revIDLastSave="0" documentId="13_ncr:1_{14A225BF-CF47-49D9-979D-713E85D844B4}"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98" i="1" l="1"/>
  <c r="I398" i="1"/>
  <c r="J397" i="1"/>
  <c r="I397" i="1"/>
  <c r="J396" i="1"/>
  <c r="I396" i="1"/>
  <c r="J395" i="1"/>
  <c r="I395" i="1"/>
  <c r="J394" i="1"/>
  <c r="I394" i="1"/>
  <c r="J393" i="1"/>
  <c r="I393" i="1"/>
  <c r="J392" i="1"/>
  <c r="I392" i="1"/>
  <c r="J391" i="1"/>
  <c r="I391" i="1"/>
  <c r="J390" i="1"/>
  <c r="I390" i="1"/>
  <c r="J389" i="1"/>
  <c r="I389" i="1"/>
  <c r="J388" i="1"/>
  <c r="I388" i="1"/>
  <c r="J387" i="1"/>
  <c r="I387" i="1"/>
  <c r="J386" i="1"/>
  <c r="I386" i="1"/>
  <c r="J385" i="1"/>
  <c r="I385" i="1"/>
  <c r="J384" i="1"/>
  <c r="I384" i="1"/>
  <c r="J383" i="1"/>
  <c r="I383" i="1"/>
  <c r="J382" i="1"/>
  <c r="I382" i="1"/>
  <c r="J381" i="1"/>
  <c r="I381" i="1"/>
  <c r="J380" i="1"/>
  <c r="I380" i="1"/>
  <c r="J379" i="1"/>
  <c r="I379" i="1"/>
  <c r="J378" i="1"/>
  <c r="I378" i="1"/>
  <c r="J377" i="1"/>
  <c r="I377" i="1"/>
  <c r="J376" i="1"/>
  <c r="I376" i="1"/>
  <c r="J375" i="1"/>
  <c r="I375" i="1"/>
  <c r="J374" i="1"/>
  <c r="I374" i="1"/>
  <c r="J373" i="1"/>
  <c r="I373" i="1"/>
  <c r="J372" i="1"/>
  <c r="I372" i="1"/>
  <c r="J371" i="1"/>
  <c r="I371" i="1"/>
  <c r="J370" i="1"/>
  <c r="I370" i="1"/>
  <c r="J369" i="1"/>
  <c r="I369" i="1"/>
  <c r="J368" i="1"/>
  <c r="I368" i="1"/>
  <c r="J367" i="1"/>
  <c r="I367" i="1"/>
  <c r="J366" i="1"/>
  <c r="I366" i="1"/>
  <c r="J365" i="1"/>
  <c r="I365" i="1"/>
  <c r="J364" i="1"/>
  <c r="I364" i="1"/>
  <c r="J363" i="1"/>
  <c r="I363" i="1"/>
  <c r="J362" i="1"/>
  <c r="I362" i="1"/>
  <c r="J361" i="1"/>
  <c r="I361" i="1"/>
  <c r="J360" i="1"/>
  <c r="I360" i="1"/>
  <c r="J359" i="1"/>
  <c r="I359" i="1"/>
  <c r="J358" i="1"/>
  <c r="I358" i="1"/>
  <c r="J357" i="1"/>
  <c r="I357" i="1"/>
  <c r="J356" i="1"/>
  <c r="I356" i="1"/>
  <c r="J355" i="1"/>
  <c r="I355" i="1"/>
  <c r="J354" i="1"/>
  <c r="I354" i="1"/>
  <c r="J353" i="1"/>
  <c r="I353" i="1"/>
  <c r="J352" i="1"/>
  <c r="I352" i="1"/>
  <c r="J351" i="1"/>
  <c r="I351" i="1"/>
  <c r="J350" i="1"/>
  <c r="I350" i="1"/>
  <c r="J349" i="1"/>
  <c r="I349" i="1"/>
  <c r="J348" i="1"/>
  <c r="I348" i="1"/>
  <c r="J347" i="1"/>
  <c r="I347" i="1"/>
  <c r="J346" i="1"/>
  <c r="I346" i="1"/>
  <c r="J345" i="1"/>
  <c r="I345" i="1"/>
  <c r="J344" i="1"/>
  <c r="I344" i="1"/>
  <c r="J343" i="1"/>
  <c r="I343" i="1"/>
  <c r="J342" i="1"/>
  <c r="I342" i="1"/>
  <c r="J341" i="1"/>
  <c r="I341" i="1"/>
  <c r="J340" i="1"/>
  <c r="I340" i="1"/>
  <c r="J339" i="1"/>
  <c r="I339" i="1"/>
  <c r="J338" i="1"/>
  <c r="I338" i="1"/>
  <c r="J337" i="1"/>
  <c r="I337" i="1"/>
  <c r="J336" i="1"/>
  <c r="I336" i="1"/>
  <c r="J335" i="1"/>
  <c r="I335" i="1"/>
  <c r="J334" i="1"/>
  <c r="I334" i="1"/>
  <c r="J333" i="1"/>
  <c r="I333" i="1"/>
  <c r="J332" i="1"/>
  <c r="I332" i="1"/>
  <c r="J331" i="1"/>
  <c r="I331" i="1"/>
  <c r="J330" i="1"/>
  <c r="I330" i="1"/>
  <c r="J329" i="1"/>
  <c r="I329" i="1"/>
  <c r="J328" i="1"/>
  <c r="I328" i="1"/>
  <c r="J327" i="1"/>
  <c r="I327" i="1"/>
  <c r="J326" i="1"/>
  <c r="I326" i="1"/>
  <c r="J325" i="1"/>
  <c r="I325" i="1"/>
  <c r="J324" i="1"/>
  <c r="I324" i="1"/>
  <c r="J323" i="1"/>
  <c r="I323" i="1"/>
  <c r="J322" i="1"/>
  <c r="I322" i="1"/>
  <c r="J321" i="1"/>
  <c r="I321" i="1"/>
  <c r="J320" i="1"/>
  <c r="I320" i="1"/>
  <c r="J319" i="1"/>
  <c r="I319" i="1"/>
  <c r="J318" i="1"/>
  <c r="I318" i="1"/>
  <c r="J317" i="1"/>
  <c r="I317" i="1"/>
  <c r="J316" i="1"/>
  <c r="I316" i="1"/>
  <c r="J315" i="1"/>
  <c r="I315" i="1"/>
  <c r="J314" i="1"/>
  <c r="I314" i="1"/>
  <c r="J313" i="1"/>
  <c r="I313" i="1"/>
  <c r="J312" i="1"/>
  <c r="I312" i="1"/>
  <c r="J311" i="1"/>
  <c r="I311" i="1"/>
  <c r="J310" i="1"/>
  <c r="I310" i="1"/>
  <c r="J309" i="1"/>
  <c r="I309" i="1"/>
  <c r="J308" i="1"/>
  <c r="I308" i="1"/>
  <c r="J307" i="1"/>
  <c r="I307" i="1"/>
  <c r="J306" i="1"/>
  <c r="I306" i="1"/>
  <c r="J305" i="1"/>
  <c r="I305" i="1"/>
  <c r="J304" i="1"/>
  <c r="I304" i="1"/>
  <c r="J303" i="1"/>
  <c r="I303" i="1"/>
  <c r="J302" i="1"/>
  <c r="I302" i="1"/>
  <c r="J301" i="1"/>
  <c r="I301" i="1"/>
  <c r="J300" i="1"/>
  <c r="I300" i="1"/>
  <c r="J299" i="1"/>
  <c r="I299" i="1"/>
  <c r="J298" i="1"/>
  <c r="I298" i="1"/>
  <c r="J297" i="1"/>
  <c r="I297" i="1"/>
  <c r="J296" i="1"/>
  <c r="I296" i="1"/>
  <c r="J295" i="1"/>
  <c r="I295" i="1"/>
  <c r="J294" i="1"/>
  <c r="I294" i="1"/>
  <c r="J293" i="1"/>
  <c r="I293" i="1"/>
  <c r="J292" i="1"/>
  <c r="I292" i="1"/>
  <c r="J291" i="1"/>
  <c r="I291" i="1"/>
  <c r="J290" i="1"/>
  <c r="I290" i="1"/>
  <c r="J289" i="1"/>
  <c r="I289" i="1"/>
  <c r="J288" i="1"/>
  <c r="I288" i="1"/>
  <c r="J287" i="1"/>
  <c r="I287" i="1"/>
  <c r="J286" i="1"/>
  <c r="I286" i="1"/>
  <c r="J285" i="1"/>
  <c r="I285" i="1"/>
  <c r="J284" i="1"/>
  <c r="I284" i="1"/>
  <c r="J283" i="1"/>
  <c r="I283" i="1"/>
  <c r="J282" i="1"/>
  <c r="I282" i="1"/>
  <c r="J281" i="1"/>
  <c r="I281" i="1"/>
  <c r="J280" i="1"/>
  <c r="I280" i="1"/>
  <c r="J279" i="1"/>
  <c r="I279" i="1"/>
  <c r="J278" i="1"/>
  <c r="I278" i="1"/>
  <c r="J277" i="1"/>
  <c r="I277" i="1"/>
  <c r="J276" i="1"/>
  <c r="I276" i="1"/>
  <c r="J275" i="1"/>
  <c r="I275" i="1"/>
  <c r="J274" i="1"/>
  <c r="I274" i="1"/>
  <c r="J273" i="1"/>
  <c r="I273" i="1"/>
  <c r="J272" i="1"/>
  <c r="I272" i="1"/>
  <c r="J271" i="1"/>
  <c r="I271" i="1"/>
  <c r="J270" i="1"/>
  <c r="I270" i="1"/>
  <c r="J269" i="1"/>
  <c r="I269" i="1"/>
  <c r="J268" i="1"/>
  <c r="I268" i="1"/>
  <c r="J267" i="1"/>
  <c r="I267" i="1"/>
  <c r="J266" i="1"/>
  <c r="I266" i="1"/>
  <c r="J265" i="1"/>
  <c r="I265" i="1"/>
  <c r="J264" i="1"/>
  <c r="I264" i="1"/>
  <c r="J263" i="1"/>
  <c r="I263" i="1"/>
  <c r="J262" i="1"/>
  <c r="I262" i="1"/>
  <c r="J261" i="1"/>
  <c r="I261" i="1"/>
  <c r="J260" i="1"/>
  <c r="I260" i="1"/>
  <c r="J259" i="1"/>
  <c r="I259" i="1"/>
  <c r="J258" i="1"/>
  <c r="I258" i="1"/>
  <c r="J257" i="1"/>
  <c r="I257" i="1"/>
  <c r="J256" i="1"/>
  <c r="I256" i="1"/>
  <c r="J255" i="1"/>
  <c r="I255" i="1"/>
  <c r="J254" i="1"/>
  <c r="I254" i="1"/>
  <c r="J253" i="1"/>
  <c r="I253" i="1"/>
  <c r="J252" i="1"/>
  <c r="I252" i="1"/>
  <c r="J251" i="1"/>
  <c r="I251" i="1"/>
  <c r="J250" i="1"/>
  <c r="I250" i="1"/>
  <c r="J249" i="1"/>
  <c r="I249" i="1"/>
  <c r="J248" i="1"/>
  <c r="I248" i="1"/>
  <c r="J247" i="1"/>
  <c r="I247" i="1"/>
  <c r="J246" i="1"/>
  <c r="I246" i="1"/>
  <c r="J245" i="1"/>
  <c r="I245" i="1"/>
  <c r="J244" i="1"/>
  <c r="I244" i="1"/>
  <c r="J243" i="1"/>
  <c r="I243" i="1"/>
  <c r="J242" i="1"/>
  <c r="I242" i="1"/>
  <c r="J241" i="1"/>
  <c r="I241" i="1"/>
  <c r="J240" i="1"/>
  <c r="I240" i="1"/>
  <c r="J239" i="1"/>
  <c r="I239" i="1"/>
  <c r="J238" i="1"/>
  <c r="I238" i="1"/>
  <c r="J237" i="1"/>
  <c r="I237" i="1"/>
  <c r="J236" i="1"/>
  <c r="I236" i="1"/>
  <c r="J235" i="1"/>
  <c r="I235" i="1"/>
  <c r="J234" i="1"/>
  <c r="I234" i="1"/>
  <c r="J233" i="1"/>
  <c r="I233" i="1"/>
  <c r="J232" i="1"/>
  <c r="I232" i="1"/>
  <c r="J231" i="1"/>
  <c r="I231" i="1"/>
  <c r="J230" i="1"/>
  <c r="I230" i="1"/>
  <c r="J229" i="1"/>
  <c r="I229" i="1"/>
  <c r="J228" i="1"/>
  <c r="I228" i="1"/>
  <c r="J227" i="1"/>
  <c r="I227" i="1"/>
  <c r="J226" i="1"/>
  <c r="I226" i="1"/>
  <c r="J225" i="1"/>
  <c r="I225" i="1"/>
  <c r="J224" i="1"/>
  <c r="I224" i="1"/>
  <c r="J223" i="1"/>
  <c r="I223" i="1"/>
  <c r="J222" i="1"/>
  <c r="I222" i="1"/>
  <c r="J221" i="1"/>
  <c r="I221" i="1"/>
  <c r="J220" i="1"/>
  <c r="I220" i="1"/>
  <c r="J219" i="1"/>
  <c r="I219" i="1"/>
  <c r="J218" i="1"/>
  <c r="I218" i="1"/>
  <c r="J217" i="1"/>
  <c r="I217" i="1"/>
  <c r="J216" i="1"/>
  <c r="I216" i="1"/>
  <c r="J215" i="1"/>
  <c r="I215" i="1"/>
  <c r="J214" i="1"/>
  <c r="I214" i="1"/>
  <c r="J213" i="1"/>
  <c r="I213" i="1"/>
  <c r="J212" i="1"/>
  <c r="I212" i="1"/>
  <c r="J211" i="1"/>
  <c r="I211" i="1"/>
  <c r="J210" i="1"/>
  <c r="I210" i="1"/>
  <c r="J209" i="1"/>
  <c r="I209" i="1"/>
  <c r="J208" i="1"/>
  <c r="I208" i="1"/>
  <c r="J207" i="1"/>
  <c r="I207" i="1"/>
  <c r="J206" i="1"/>
  <c r="I206" i="1"/>
  <c r="J205" i="1"/>
  <c r="I205" i="1"/>
  <c r="J204" i="1"/>
  <c r="I204" i="1"/>
  <c r="J203" i="1"/>
  <c r="I203" i="1"/>
  <c r="J202" i="1"/>
  <c r="I202" i="1"/>
  <c r="J201" i="1"/>
  <c r="I201" i="1"/>
  <c r="J200" i="1"/>
  <c r="I200" i="1"/>
  <c r="J199" i="1"/>
  <c r="I199" i="1"/>
  <c r="J198" i="1"/>
  <c r="I198" i="1"/>
  <c r="J197" i="1"/>
  <c r="I197" i="1"/>
  <c r="J196" i="1"/>
  <c r="I196" i="1"/>
  <c r="J195" i="1"/>
  <c r="I195" i="1"/>
  <c r="J194" i="1"/>
  <c r="I194" i="1"/>
  <c r="J193" i="1"/>
  <c r="I193" i="1"/>
  <c r="J192" i="1"/>
  <c r="I192" i="1"/>
  <c r="J191" i="1"/>
  <c r="I191" i="1"/>
  <c r="J190" i="1"/>
  <c r="I190" i="1"/>
  <c r="J189" i="1"/>
  <c r="I189" i="1"/>
  <c r="J188" i="1"/>
  <c r="I188" i="1"/>
  <c r="J187" i="1"/>
  <c r="I187" i="1"/>
  <c r="J186" i="1"/>
  <c r="I186" i="1"/>
  <c r="J185" i="1"/>
  <c r="I185" i="1"/>
  <c r="J184" i="1"/>
  <c r="I184" i="1"/>
  <c r="J183" i="1"/>
  <c r="I183" i="1"/>
  <c r="J182" i="1"/>
  <c r="I182" i="1"/>
  <c r="J181" i="1"/>
  <c r="I181" i="1"/>
  <c r="J180" i="1"/>
  <c r="I180" i="1"/>
  <c r="J179" i="1"/>
  <c r="I179" i="1"/>
  <c r="J178" i="1"/>
  <c r="I178" i="1"/>
  <c r="J177" i="1"/>
  <c r="I177" i="1"/>
  <c r="J176" i="1"/>
  <c r="I176" i="1"/>
  <c r="J175" i="1"/>
  <c r="I175" i="1"/>
  <c r="J174" i="1"/>
  <c r="I174" i="1"/>
  <c r="J173" i="1"/>
  <c r="I173" i="1"/>
  <c r="J172" i="1"/>
  <c r="I172" i="1"/>
  <c r="J171" i="1"/>
  <c r="I171" i="1"/>
  <c r="J170" i="1"/>
  <c r="I170" i="1"/>
  <c r="J169" i="1"/>
  <c r="I169" i="1"/>
  <c r="J168" i="1"/>
  <c r="I168" i="1"/>
  <c r="J167" i="1"/>
  <c r="I167" i="1"/>
  <c r="J166" i="1"/>
  <c r="I166" i="1"/>
  <c r="J165" i="1"/>
  <c r="I165" i="1"/>
  <c r="J164" i="1"/>
  <c r="I164" i="1"/>
  <c r="J163" i="1"/>
  <c r="I163" i="1"/>
  <c r="J162" i="1"/>
  <c r="I162" i="1"/>
  <c r="J161" i="1"/>
  <c r="I161" i="1"/>
  <c r="J160" i="1"/>
  <c r="I160" i="1"/>
  <c r="J159" i="1"/>
  <c r="I159" i="1"/>
  <c r="J158" i="1"/>
  <c r="I158" i="1"/>
  <c r="J157" i="1"/>
  <c r="I157" i="1"/>
  <c r="J156" i="1"/>
  <c r="I156" i="1"/>
  <c r="J155" i="1"/>
  <c r="I155" i="1"/>
  <c r="J154" i="1"/>
  <c r="I154" i="1"/>
  <c r="J153" i="1"/>
  <c r="I153" i="1"/>
  <c r="J152" i="1"/>
  <c r="I152" i="1"/>
  <c r="J151" i="1"/>
  <c r="I151" i="1"/>
  <c r="J150" i="1"/>
  <c r="I150" i="1"/>
  <c r="J149" i="1"/>
  <c r="I149" i="1"/>
  <c r="J148" i="1"/>
  <c r="I148" i="1"/>
  <c r="J147" i="1"/>
  <c r="I147" i="1"/>
  <c r="J146" i="1"/>
  <c r="I146" i="1"/>
  <c r="J145" i="1"/>
  <c r="I145" i="1"/>
  <c r="J144" i="1"/>
  <c r="I144" i="1"/>
  <c r="J143" i="1"/>
  <c r="I143" i="1"/>
  <c r="J142" i="1"/>
  <c r="I142" i="1"/>
  <c r="J141" i="1"/>
  <c r="I141" i="1"/>
  <c r="J140" i="1"/>
  <c r="I140" i="1"/>
  <c r="J139" i="1"/>
  <c r="I139" i="1"/>
  <c r="J138" i="1"/>
  <c r="I138" i="1"/>
  <c r="J137" i="1"/>
  <c r="I137" i="1"/>
  <c r="J136" i="1"/>
  <c r="I136" i="1"/>
  <c r="J135" i="1"/>
  <c r="I135" i="1"/>
  <c r="J134" i="1"/>
  <c r="I134" i="1"/>
  <c r="J133" i="1"/>
  <c r="I133" i="1"/>
  <c r="J132" i="1"/>
  <c r="I132" i="1"/>
  <c r="J131" i="1"/>
  <c r="I131" i="1"/>
  <c r="J130" i="1"/>
  <c r="I130" i="1"/>
  <c r="J129" i="1"/>
  <c r="I129" i="1"/>
  <c r="J128" i="1"/>
  <c r="I128" i="1"/>
  <c r="J127" i="1"/>
  <c r="I127" i="1"/>
  <c r="J126" i="1"/>
  <c r="I126" i="1"/>
  <c r="J125" i="1"/>
  <c r="I125" i="1"/>
  <c r="J124" i="1"/>
  <c r="I124" i="1"/>
  <c r="J123" i="1"/>
  <c r="I123" i="1"/>
  <c r="J122" i="1"/>
  <c r="I122" i="1"/>
  <c r="J121" i="1"/>
  <c r="I121" i="1"/>
  <c r="J120" i="1"/>
  <c r="I120" i="1"/>
  <c r="J119" i="1"/>
  <c r="I119" i="1"/>
  <c r="J118" i="1"/>
  <c r="I118" i="1"/>
  <c r="J117" i="1"/>
  <c r="I117" i="1"/>
  <c r="J116" i="1"/>
  <c r="I116" i="1"/>
  <c r="J115" i="1"/>
  <c r="I115" i="1"/>
  <c r="J114" i="1"/>
  <c r="I114" i="1"/>
  <c r="J113" i="1"/>
  <c r="I113" i="1"/>
  <c r="J112" i="1"/>
  <c r="I112" i="1"/>
  <c r="J111" i="1"/>
  <c r="I111" i="1"/>
  <c r="J110" i="1"/>
  <c r="I110" i="1"/>
  <c r="J109" i="1"/>
  <c r="I109" i="1"/>
  <c r="J108" i="1"/>
  <c r="I108" i="1"/>
  <c r="J107" i="1"/>
  <c r="I107" i="1"/>
  <c r="J106" i="1"/>
  <c r="I106" i="1"/>
  <c r="J105" i="1"/>
  <c r="I105" i="1"/>
  <c r="J104" i="1"/>
  <c r="I104" i="1"/>
  <c r="J103" i="1"/>
  <c r="I103" i="1"/>
  <c r="J102" i="1"/>
  <c r="I102" i="1"/>
  <c r="J101" i="1"/>
  <c r="I101" i="1"/>
  <c r="J100" i="1"/>
  <c r="I100" i="1"/>
  <c r="J99" i="1"/>
  <c r="I99" i="1"/>
  <c r="J98" i="1"/>
  <c r="I98" i="1"/>
  <c r="J97" i="1"/>
  <c r="I97" i="1"/>
  <c r="J96" i="1"/>
  <c r="I96" i="1"/>
  <c r="J95" i="1"/>
  <c r="I95" i="1"/>
  <c r="J94" i="1"/>
  <c r="I94" i="1"/>
  <c r="J93" i="1"/>
  <c r="I93" i="1"/>
  <c r="J92" i="1"/>
  <c r="I92" i="1"/>
  <c r="J91" i="1"/>
  <c r="I91" i="1"/>
  <c r="J90" i="1"/>
  <c r="I90" i="1"/>
  <c r="J89" i="1"/>
  <c r="I89" i="1"/>
  <c r="J88" i="1"/>
  <c r="I88" i="1"/>
  <c r="J87" i="1"/>
  <c r="I87" i="1"/>
  <c r="J86" i="1"/>
  <c r="I86" i="1"/>
  <c r="J85" i="1"/>
  <c r="I85" i="1"/>
  <c r="J84" i="1"/>
  <c r="I84" i="1"/>
  <c r="J83" i="1"/>
  <c r="I83" i="1"/>
  <c r="J82" i="1"/>
  <c r="I82" i="1"/>
  <c r="J81" i="1"/>
  <c r="I81" i="1"/>
  <c r="J80" i="1"/>
  <c r="I80" i="1"/>
  <c r="J79" i="1"/>
  <c r="I79" i="1"/>
  <c r="J78" i="1"/>
  <c r="I78" i="1"/>
  <c r="J77" i="1"/>
  <c r="I77" i="1"/>
  <c r="J76" i="1"/>
  <c r="I76" i="1"/>
  <c r="J75" i="1"/>
  <c r="I75" i="1"/>
  <c r="J74" i="1"/>
  <c r="I74" i="1"/>
  <c r="J73" i="1"/>
  <c r="I73" i="1"/>
  <c r="J72" i="1"/>
  <c r="I72" i="1"/>
  <c r="J71" i="1"/>
  <c r="I71" i="1"/>
  <c r="J70" i="1"/>
  <c r="I70" i="1"/>
  <c r="J69" i="1"/>
  <c r="I69" i="1"/>
  <c r="J68" i="1"/>
  <c r="I68" i="1"/>
  <c r="J67" i="1"/>
  <c r="I67" i="1"/>
  <c r="J66" i="1"/>
  <c r="I66" i="1"/>
  <c r="J65" i="1"/>
  <c r="I65" i="1"/>
  <c r="J64" i="1"/>
  <c r="I64" i="1"/>
  <c r="J63" i="1"/>
  <c r="I63" i="1"/>
  <c r="J62" i="1"/>
  <c r="I62" i="1"/>
  <c r="J61" i="1"/>
  <c r="I61" i="1"/>
  <c r="J60" i="1"/>
  <c r="I60" i="1"/>
  <c r="J59" i="1"/>
  <c r="I59" i="1"/>
  <c r="J58" i="1"/>
  <c r="I58" i="1"/>
  <c r="J57" i="1"/>
  <c r="I57" i="1"/>
  <c r="J56" i="1"/>
  <c r="I56" i="1"/>
  <c r="J55" i="1"/>
  <c r="I55" i="1"/>
  <c r="J54" i="1"/>
  <c r="I54" i="1"/>
  <c r="J53" i="1"/>
  <c r="I53" i="1"/>
  <c r="J52" i="1"/>
  <c r="I52" i="1"/>
  <c r="J51" i="1"/>
  <c r="I51" i="1"/>
  <c r="J50" i="1"/>
  <c r="I50" i="1"/>
  <c r="J49" i="1"/>
  <c r="I49" i="1"/>
  <c r="J48" i="1"/>
  <c r="I48" i="1"/>
  <c r="J47" i="1"/>
  <c r="I47" i="1"/>
  <c r="J46" i="1"/>
  <c r="I46" i="1"/>
  <c r="J45" i="1"/>
  <c r="I45" i="1"/>
  <c r="J44" i="1"/>
  <c r="I44" i="1"/>
  <c r="J43" i="1"/>
  <c r="I43" i="1"/>
  <c r="J42" i="1"/>
  <c r="I42" i="1"/>
  <c r="J41" i="1"/>
  <c r="I41" i="1"/>
  <c r="J40" i="1"/>
  <c r="I40" i="1"/>
  <c r="J39" i="1"/>
  <c r="I39" i="1"/>
  <c r="J38" i="1"/>
  <c r="I38" i="1"/>
  <c r="J37" i="1"/>
  <c r="I37" i="1"/>
  <c r="J36" i="1"/>
  <c r="I36" i="1"/>
  <c r="J35" i="1"/>
  <c r="I35" i="1"/>
  <c r="J34" i="1"/>
  <c r="I34" i="1"/>
  <c r="J33" i="1"/>
  <c r="I33" i="1"/>
  <c r="J32" i="1"/>
  <c r="I32" i="1"/>
  <c r="J31" i="1"/>
  <c r="I31" i="1"/>
  <c r="J30" i="1"/>
  <c r="I30" i="1"/>
  <c r="J29" i="1"/>
  <c r="I29" i="1"/>
  <c r="J28" i="1"/>
  <c r="I28" i="1"/>
  <c r="J27" i="1"/>
  <c r="I27" i="1"/>
  <c r="J26" i="1"/>
  <c r="I26" i="1"/>
  <c r="J25" i="1"/>
  <c r="I25" i="1"/>
  <c r="J24" i="1"/>
  <c r="I24" i="1"/>
  <c r="J23" i="1"/>
  <c r="I23" i="1"/>
  <c r="J22" i="1"/>
  <c r="I22" i="1"/>
  <c r="J21" i="1"/>
  <c r="I21" i="1"/>
  <c r="J20" i="1"/>
  <c r="I20" i="1"/>
  <c r="J19" i="1"/>
  <c r="I19" i="1"/>
  <c r="J18" i="1"/>
  <c r="I18" i="1"/>
  <c r="J17" i="1"/>
  <c r="I17" i="1"/>
  <c r="J16" i="1"/>
  <c r="I16" i="1"/>
  <c r="J15" i="1"/>
  <c r="I15" i="1"/>
  <c r="J14" i="1"/>
  <c r="I14" i="1"/>
  <c r="J13" i="1"/>
  <c r="I13" i="1"/>
  <c r="J12" i="1"/>
  <c r="I12" i="1"/>
  <c r="J11" i="1"/>
  <c r="I11" i="1"/>
  <c r="J10" i="1"/>
  <c r="I10" i="1"/>
  <c r="J9" i="1"/>
  <c r="I9" i="1"/>
  <c r="J8" i="1"/>
  <c r="I8" i="1"/>
  <c r="J7" i="1"/>
  <c r="I7" i="1"/>
  <c r="J6" i="1"/>
  <c r="I6" i="1"/>
  <c r="J5" i="1"/>
  <c r="I5" i="1"/>
  <c r="J4" i="1"/>
  <c r="I4" i="1"/>
  <c r="J3" i="1"/>
  <c r="I3" i="1"/>
  <c r="J2" i="1"/>
  <c r="I2" i="1"/>
</calcChain>
</file>

<file path=xl/sharedStrings.xml><?xml version="1.0" encoding="utf-8"?>
<sst xmlns="http://schemas.openxmlformats.org/spreadsheetml/2006/main" count="2059" uniqueCount="625">
  <si>
    <t>地区</t>
    <phoneticPr fontId="2" type="noConversion"/>
  </si>
  <si>
    <t>矿床名称</t>
    <phoneticPr fontId="2" type="noConversion"/>
  </si>
  <si>
    <t>样品号</t>
    <phoneticPr fontId="2" type="noConversion"/>
  </si>
  <si>
    <t>Pb208_204</t>
    <phoneticPr fontId="2" type="noConversion"/>
  </si>
  <si>
    <t>Pb207_204</t>
    <phoneticPr fontId="2" type="noConversion"/>
  </si>
  <si>
    <t>Pb206_204</t>
    <phoneticPr fontId="2" type="noConversion"/>
  </si>
  <si>
    <t>208Pb/206 Pb</t>
    <phoneticPr fontId="2" type="noConversion"/>
  </si>
  <si>
    <t>207 Pb/206 Pb</t>
    <phoneticPr fontId="2" type="noConversion"/>
  </si>
  <si>
    <t>北秦岭</t>
    <phoneticPr fontId="2" type="noConversion"/>
  </si>
  <si>
    <t>东沟坝金银多金属矿床</t>
  </si>
  <si>
    <t>Sample 8</t>
  </si>
  <si>
    <t>杨宗让.2012.秦岭造山带大型矿集区成矿系统研究.長安大學博士論文</t>
  </si>
  <si>
    <t>Sample 10</t>
  </si>
  <si>
    <t>Sample 3</t>
  </si>
  <si>
    <t>Sample 5</t>
  </si>
  <si>
    <t>Sample 2</t>
  </si>
  <si>
    <t>银厂沟鉛鋅矿床</t>
  </si>
  <si>
    <t>JYTZ11-1</t>
  </si>
  <si>
    <t>Sample 9</t>
  </si>
  <si>
    <t>Sample 6</t>
  </si>
  <si>
    <t>Sample 7</t>
  </si>
  <si>
    <t>JYTZ2-3</t>
  </si>
  <si>
    <t>Sample 11</t>
  </si>
  <si>
    <t>JYTZ13</t>
  </si>
  <si>
    <t>Sample 1</t>
    <phoneticPr fontId="1" type="noConversion"/>
  </si>
  <si>
    <t>Sample 4</t>
  </si>
  <si>
    <t>CH-1</t>
  </si>
  <si>
    <t>Zhang et al.1997.Pb Isotopes suggest Devonian accretion of Yangtze (South China) craton to North China craton</t>
  </si>
  <si>
    <t>ML-4</t>
  </si>
  <si>
    <t>CH-2</t>
  </si>
  <si>
    <t>趙家莊铅锌矿</t>
  </si>
  <si>
    <t>李英.1989.陕南镇旬矿田铅锌矿化特征及成因.地質找礦論叢4(2): 54-66</t>
  </si>
  <si>
    <t>小河口 1</t>
  </si>
  <si>
    <t>李澤九1986.節錄於朱华平.2004.柞山地区铜锌多金属矿床地质—地球化学—后生成矿作用的重要性.中國地質科學院博士論文</t>
  </si>
  <si>
    <t>小河口 2</t>
  </si>
  <si>
    <t>錫銅沟铅锌矿</t>
  </si>
  <si>
    <t>MHG-1</t>
  </si>
  <si>
    <t>Sample 1</t>
    <phoneticPr fontId="2" type="noConversion"/>
  </si>
  <si>
    <t>ML-2</t>
  </si>
  <si>
    <t>BJ-4</t>
  </si>
  <si>
    <t>BJ-3</t>
  </si>
  <si>
    <t>月西铅锌矿</t>
  </si>
  <si>
    <t>BJ-1</t>
  </si>
  <si>
    <t>BJ-2</t>
  </si>
  <si>
    <t>MHG-2</t>
  </si>
  <si>
    <t>D-1699</t>
  </si>
  <si>
    <t>張本仁.1989.節錄於朱华平.2004.柞山地区铜锌多金属矿床地质—地球化学—后生成矿作用的重要性.中國地質科學院博士論文</t>
  </si>
  <si>
    <t>AT-40</t>
  </si>
  <si>
    <t>D-4933b</t>
  </si>
  <si>
    <t>D-4933a</t>
  </si>
  <si>
    <t>银硐子银铅矿</t>
  </si>
  <si>
    <t>ZK87092</t>
  </si>
  <si>
    <t>王相等1996.節錄於王瑞廷.2010.柞水银洞子银铅多金属矿床地球化学特征、成矿模式及找矿预测.地質學報84(3): 418-430</t>
  </si>
  <si>
    <t>ZK87090</t>
  </si>
  <si>
    <t>pd2-46</t>
  </si>
  <si>
    <t>朱华平.2004.柞山地区铜锌多金属矿床地质—地球化学—后生成矿作用的重要性.中國地質科學院博士論文</t>
  </si>
  <si>
    <t>pdl-31</t>
  </si>
  <si>
    <t>WL-004</t>
  </si>
  <si>
    <t>ZK87121</t>
  </si>
  <si>
    <t>Y4/Q-1</t>
  </si>
  <si>
    <t>No. 13</t>
  </si>
  <si>
    <t>WL-113</t>
  </si>
  <si>
    <t>ZK87113</t>
  </si>
  <si>
    <t>T-1-7-12</t>
  </si>
  <si>
    <t>AT-15</t>
  </si>
  <si>
    <t>pdM34</t>
  </si>
  <si>
    <t>银硐子银铅矿</t>
    <phoneticPr fontId="2" type="noConversion"/>
  </si>
  <si>
    <t>ZK87093</t>
    <phoneticPr fontId="2" type="noConversion"/>
  </si>
  <si>
    <t>王相等1996.節錄於王瑞廷.2010.柞水银洞子银铅多金属矿床地球化学特征、成矿模式及找矿预测.地質學報84(3): 418-430</t>
    <phoneticPr fontId="2" type="noConversion"/>
  </si>
  <si>
    <t>WL-86</t>
  </si>
  <si>
    <t>ZK87126</t>
  </si>
  <si>
    <t>WL-91</t>
  </si>
  <si>
    <t>554-0</t>
  </si>
  <si>
    <t>AT-44</t>
  </si>
  <si>
    <t>T-D-5</t>
  </si>
  <si>
    <t>pd2-52</t>
  </si>
  <si>
    <t>T-1-1-01</t>
  </si>
  <si>
    <t>银洞山铅锌矿床</t>
  </si>
  <si>
    <t>YDS-2-1</t>
  </si>
  <si>
    <t>胡乔青.2015.西秦岭凤太矿集区铅锌多金属矿床成矿作用特征、机制与成矿规律.中國地質科學院博士論文</t>
  </si>
  <si>
    <t>R1</t>
  </si>
  <si>
    <t>Pd 1-23</t>
  </si>
  <si>
    <t>R4</t>
  </si>
  <si>
    <t>R3</t>
  </si>
  <si>
    <t>TMR11</t>
  </si>
  <si>
    <t>pd2-98</t>
  </si>
  <si>
    <t>T-D-102</t>
  </si>
  <si>
    <t>Y70</t>
  </si>
  <si>
    <t>Y40-3</t>
  </si>
  <si>
    <t>TMR2</t>
  </si>
  <si>
    <t>T-1-5-28</t>
  </si>
  <si>
    <t>ZK87096</t>
  </si>
  <si>
    <t>T-1-6-38</t>
  </si>
  <si>
    <t>NS074</t>
  </si>
  <si>
    <t>李云涛.2016.宁陕县太山庙金矿矿床地质特征与矿床成因.長安大學碩士論文</t>
  </si>
  <si>
    <t>八方山铅锌矿</t>
  </si>
  <si>
    <t>BFS-5</t>
  </si>
  <si>
    <t>NS034</t>
  </si>
  <si>
    <t>柴蚂金矿床</t>
  </si>
  <si>
    <t>DTZ-3-1</t>
  </si>
  <si>
    <t>WG-1</t>
  </si>
  <si>
    <t>BFS12</t>
  </si>
  <si>
    <t>E76</t>
  </si>
  <si>
    <t>ZY-2</t>
  </si>
  <si>
    <t>E86</t>
  </si>
  <si>
    <t>DTZ-3-4</t>
  </si>
  <si>
    <t>柳树湾</t>
  </si>
  <si>
    <t>ZK1501HTK-D2</t>
  </si>
  <si>
    <t>黄铁矿</t>
  </si>
  <si>
    <t>[1]林锐华,杨秀峰,刘行等.北秦岭东段柳树湾花岗伟晶岩型铀矿床铅同位素特征与成矿作用探讨[J].地质找矿论丛,2021,36(01):48-58.</t>
  </si>
  <si>
    <t>Y9/Q-1</t>
  </si>
  <si>
    <t>ZK87085</t>
    <phoneticPr fontId="2" type="noConversion"/>
  </si>
  <si>
    <t>E121-1</t>
  </si>
  <si>
    <t>E12M</t>
  </si>
  <si>
    <t>HC2-1</t>
  </si>
  <si>
    <t>HBY-1</t>
  </si>
  <si>
    <t>ZY-1</t>
  </si>
  <si>
    <t>HBY-2</t>
  </si>
  <si>
    <t>ZY-3</t>
  </si>
  <si>
    <t>TYP-1</t>
  </si>
  <si>
    <t>ZY-4</t>
  </si>
  <si>
    <t>CO-2</t>
  </si>
  <si>
    <t>QSP-1</t>
  </si>
  <si>
    <t>TB-2</t>
  </si>
  <si>
    <t>KP-2</t>
  </si>
  <si>
    <t>PC-1</t>
  </si>
  <si>
    <t>CO-1</t>
  </si>
  <si>
    <t>NS070</t>
  </si>
  <si>
    <t>铧厂沟金矿床</t>
  </si>
  <si>
    <t>HCG-186</t>
  </si>
  <si>
    <t>杨隆勃.2013.陕西铧厂沟金矿床成矿特征及物质来源研究.中國地質40(4): 1218-1230</t>
  </si>
  <si>
    <t>KP-1</t>
  </si>
  <si>
    <t>ZK1501HTK-D3</t>
  </si>
  <si>
    <t>ZK0001HTK-D4</t>
  </si>
  <si>
    <t>NS071</t>
  </si>
  <si>
    <t>SM-1</t>
  </si>
  <si>
    <t>201707ZK1301-y-2</t>
  </si>
  <si>
    <t>ZK1301HTK-Y2</t>
  </si>
  <si>
    <t>ZK1301HTK-Y4</t>
  </si>
  <si>
    <t>东秦岭</t>
    <phoneticPr fontId="2" type="noConversion"/>
  </si>
  <si>
    <t>板厂区</t>
    <phoneticPr fontId="2" type="noConversion"/>
  </si>
  <si>
    <t>XG17-1</t>
  </si>
  <si>
    <t>石英二长岩</t>
  </si>
  <si>
    <t>Sample 17</t>
  </si>
  <si>
    <t>垣头碳酸岩脉型钼铅矿点</t>
  </si>
  <si>
    <t>黄典豪.1984.东秦岭地区钼矿床铅同位素组成特征及成矿物质来源初探.矿床地質3(4): 21-27</t>
  </si>
  <si>
    <t>BC18-2</t>
  </si>
  <si>
    <t>花岗斑岩</t>
  </si>
  <si>
    <t>黄龙铺碳酸岩脉型钼铅矿床</t>
  </si>
  <si>
    <t>Sample 15</t>
  </si>
  <si>
    <t>桃园碳酸岩脉型钼铅矿点</t>
  </si>
  <si>
    <t>黄龙铺碳酸岩</t>
  </si>
  <si>
    <t>黄典豪.1984.东秦岭地区钼矿床铅同位素组成特征及成矿物质来源初探.矿床地質3(4): 21-27</t>
    <phoneticPr fontId="1" type="noConversion"/>
  </si>
  <si>
    <t>Sample 14</t>
  </si>
  <si>
    <t>龙门店</t>
    <phoneticPr fontId="2" type="noConversion"/>
  </si>
  <si>
    <t>PD1256K1-T4</t>
  </si>
  <si>
    <t>方铅矿</t>
    <phoneticPr fontId="2" type="noConversion"/>
  </si>
  <si>
    <t>Sample 12</t>
  </si>
  <si>
    <t>黄龙铺碳酸岩脉型钼铅矿床</t>
    <phoneticPr fontId="1" type="noConversion"/>
  </si>
  <si>
    <t>Sample 16</t>
  </si>
  <si>
    <t>ZK9604-10</t>
  </si>
  <si>
    <t>花岗闪长岩</t>
  </si>
  <si>
    <t>马元铅锌矿</t>
    <phoneticPr fontId="2" type="noConversion"/>
  </si>
  <si>
    <t>Sample 3</t>
    <phoneticPr fontId="1" type="noConversion"/>
  </si>
  <si>
    <t>侯滿堂.2007.節錄於李智明.2009.扬子北缘及周边地区铅锌成矿作用与找矿方向研究.長安大學博士論文</t>
  </si>
  <si>
    <t>Sample 13</t>
  </si>
  <si>
    <t>Sample 18</t>
  </si>
  <si>
    <t>金堆城斑岩型钼矿床</t>
  </si>
  <si>
    <t>侯滿堂.2007.節錄於李智明.2007.扬子北缘及周边地区铅锌成矿作用与找矿方向研究.長安大學博士論文</t>
  </si>
  <si>
    <t>PD890K11-5-T4</t>
  </si>
  <si>
    <t>PD960K9-T5</t>
  </si>
  <si>
    <t>PD1006K9-T4</t>
  </si>
  <si>
    <t>PD890K11-5-T2</t>
  </si>
  <si>
    <t>PD960K9-T3</t>
  </si>
  <si>
    <t>PD1006K9-T2</t>
  </si>
  <si>
    <t>PD948K11-5-T6</t>
  </si>
  <si>
    <t>Sample 4</t>
    <phoneticPr fontId="1" type="noConversion"/>
  </si>
  <si>
    <t>侯滿堂.2007.節錄於李智明.2010.扬子北缘及周边地区铅锌成矿作用与找矿方向研究.長安大學博士論文</t>
  </si>
  <si>
    <t>PD890K11-5-T9</t>
  </si>
  <si>
    <t>PD1164K1-T9</t>
  </si>
  <si>
    <t>Sample 5</t>
    <phoneticPr fontId="1" type="noConversion"/>
  </si>
  <si>
    <t>侯滿堂.2007.節錄於李智明.2011.扬子北缘及周边地区铅锌成矿作用与找矿方向研究.長安大學博士論文</t>
  </si>
  <si>
    <t>Sample 2</t>
    <phoneticPr fontId="1" type="noConversion"/>
  </si>
  <si>
    <t>侯滿堂.2007.節錄於李智明.2008.扬子北缘及周边地区铅锌成矿作用与找矿方向研究.長安大學博士論文</t>
  </si>
  <si>
    <t>YY17-6</t>
  </si>
  <si>
    <t>黑云母花岗岩</t>
  </si>
  <si>
    <t>ZK1725-16</t>
  </si>
  <si>
    <t>ZK1725-42</t>
  </si>
  <si>
    <t>ZK1725-37</t>
  </si>
  <si>
    <t>ZK1401-10</t>
  </si>
  <si>
    <t>ZK1725-11</t>
  </si>
  <si>
    <t>ZK1725-19</t>
  </si>
  <si>
    <t>ZK9604-14</t>
  </si>
  <si>
    <t>NXS17-9</t>
  </si>
  <si>
    <t>ZK9604-5</t>
  </si>
  <si>
    <t>YY17-2</t>
  </si>
  <si>
    <t>WLT17-3</t>
  </si>
  <si>
    <t>辉长岩</t>
  </si>
  <si>
    <t>SJZ17-2</t>
  </si>
  <si>
    <t>南秦岭</t>
    <phoneticPr fontId="2" type="noConversion"/>
  </si>
  <si>
    <t>JYTZ1-1</t>
  </si>
  <si>
    <t>泗人沟</t>
  </si>
  <si>
    <t>kw4</t>
  </si>
  <si>
    <t>Sanpinggo (SPG)</t>
  </si>
  <si>
    <t>SPG-1</t>
  </si>
  <si>
    <t>Fengzishan (FZS)</t>
  </si>
  <si>
    <t>FZS-1</t>
  </si>
  <si>
    <t>Gangou (GG)</t>
  </si>
  <si>
    <t>GG-1</t>
  </si>
  <si>
    <t>Banbanshan (BBS)</t>
  </si>
  <si>
    <t>BBS-4</t>
  </si>
  <si>
    <t>Donjiankou (DJK)</t>
  </si>
  <si>
    <t>DJK-10</t>
  </si>
  <si>
    <t>DJK-6</t>
  </si>
  <si>
    <t>小河口矽卡岩型铜矿</t>
  </si>
  <si>
    <t>X2-D2</t>
  </si>
  <si>
    <t>谭立群.1996.甘肃安家岔金矿床铅同位素地球化学研究.矿床地質15(2): 144-155</t>
  </si>
  <si>
    <t>BBS-6</t>
  </si>
  <si>
    <t>Shahewan (SHW)</t>
  </si>
  <si>
    <t>SHW-2</t>
  </si>
  <si>
    <t>SHW-1</t>
  </si>
  <si>
    <t>Caoping (CP)</t>
  </si>
  <si>
    <t>CP-10</t>
  </si>
  <si>
    <t>XrD,</t>
  </si>
  <si>
    <t>CP-8</t>
  </si>
  <si>
    <t>Guantoushan (GTS)</t>
  </si>
  <si>
    <t>GTS-2</t>
  </si>
  <si>
    <t>CP-2</t>
  </si>
  <si>
    <t>DJK4</t>
  </si>
  <si>
    <t>双王金矿床</t>
  </si>
  <si>
    <t>石英二长闪长岩</t>
  </si>
  <si>
    <t>石准立等1989.節錄於王可新.2012.陕西太白双王金矿床地质特征及稳定同位素地球化学研究.中國地質39(5): 1359-1374</t>
  </si>
  <si>
    <t>关子沟</t>
  </si>
  <si>
    <t>XGD-06</t>
  </si>
  <si>
    <t>闪锌矿</t>
  </si>
  <si>
    <t>[1]徐林刚,郑伟.南秦岭旬阳盆地志留纪黑色岩系与Pb-Zn矿床成矿的关系[J].地质学报,2021,95(06):1854-1867.DOI:10.19762/j.cnki.dizhixuebao.2021283.</t>
  </si>
  <si>
    <t>788-7-D2</t>
  </si>
  <si>
    <t>Wulon (WL)</t>
  </si>
  <si>
    <t>WL-2</t>
  </si>
  <si>
    <t>GZG-14-Zn</t>
  </si>
  <si>
    <t>GZG-14-Pb</t>
  </si>
  <si>
    <t>方铅矿</t>
  </si>
  <si>
    <t>XGD-12</t>
  </si>
  <si>
    <t>Mihunzhen (MHZ)</t>
  </si>
  <si>
    <t>MHZ-3</t>
  </si>
  <si>
    <t>GZGK-9</t>
  </si>
  <si>
    <t>GZGK-3</t>
  </si>
  <si>
    <t>GZG-7-Zn</t>
  </si>
  <si>
    <t>GZGK-4</t>
  </si>
  <si>
    <t>南沙沟</t>
    <phoneticPr fontId="2" type="noConversion"/>
  </si>
  <si>
    <t>NSG-3</t>
    <phoneticPr fontId="2" type="noConversion"/>
  </si>
  <si>
    <t>闪锌矿</t>
    <phoneticPr fontId="2" type="noConversion"/>
  </si>
  <si>
    <t>GZGK-15</t>
  </si>
  <si>
    <t>南沙沟</t>
  </si>
  <si>
    <t>NSG-10-Zn</t>
  </si>
  <si>
    <t>GZG-7-Pb</t>
  </si>
  <si>
    <t>NSG-10-Pb</t>
  </si>
  <si>
    <t>李智明.2007.扬子北缘及周边地区铅锌成矿作用与找矿方向研究.長安大學博士論文</t>
  </si>
  <si>
    <t>NSG-9-Zn</t>
  </si>
  <si>
    <t>GZGK-17</t>
  </si>
  <si>
    <t>NSG-9-Pb</t>
  </si>
  <si>
    <t>GZGK-12</t>
  </si>
  <si>
    <t>GZGK-8</t>
  </si>
  <si>
    <t>泗人沟铅锌矿</t>
  </si>
  <si>
    <t>GZG-4</t>
  </si>
  <si>
    <t>ns-1</t>
  </si>
  <si>
    <t>XND-7</t>
  </si>
  <si>
    <t>黄石板</t>
  </si>
  <si>
    <t>XHD-6</t>
  </si>
  <si>
    <t>GZGK-14</t>
  </si>
  <si>
    <t>XND-11</t>
  </si>
  <si>
    <t>GZGK-13</t>
  </si>
  <si>
    <t>南沙沟铅锌矿</t>
  </si>
  <si>
    <t>ns-2</t>
  </si>
  <si>
    <t>GZGK-11</t>
  </si>
  <si>
    <t>GZGK-16</t>
  </si>
  <si>
    <t>XND-5</t>
  </si>
  <si>
    <t>18-3</t>
  </si>
  <si>
    <t>祁思敬等1993.節錄於任鹏.2014.秦岭凤太矿集区喷流沉积型铅锌矿床S、Pb同位素地球化学特征.西北地質47(1): 137-149</t>
  </si>
  <si>
    <t>二长花岗岩</t>
  </si>
  <si>
    <t>1014-1</t>
  </si>
  <si>
    <t>王俊發等.1991.節錄於任鹏.2014.秦岭凤太矿集区喷流沉积型铅锌矿床S、Pb同位素地球化学特征</t>
  </si>
  <si>
    <t>银母寺铅锌矿</t>
  </si>
  <si>
    <t>Ee6-1</t>
  </si>
  <si>
    <t>有色717隊.節錄於任鹏.2014.秦岭凤太矿集区喷流沉积型铅锌矿床S、Pb同位素地球化学特征</t>
  </si>
  <si>
    <t>任家沟</t>
  </si>
  <si>
    <t>XRD-5
XRD-3</t>
    <phoneticPr fontId="2" type="noConversion"/>
  </si>
  <si>
    <t>黄铁矿</t>
    <phoneticPr fontId="2" type="noConversion"/>
  </si>
  <si>
    <t>kw1</t>
  </si>
  <si>
    <t>XRD-3</t>
  </si>
  <si>
    <t>Yuanzijia (YZJ)</t>
  </si>
  <si>
    <t>YZJ-1</t>
  </si>
  <si>
    <t>岩房湾铅锌矿</t>
  </si>
  <si>
    <t>刘必政.2013.陕西省岩房湾铅锌矿成矿流体与地球化学特征.地質找矿論叢28(1): 50-57</t>
  </si>
  <si>
    <t>铅硐山铅锌矿</t>
  </si>
  <si>
    <t>Q724-2</t>
  </si>
  <si>
    <t>Q620-2</t>
  </si>
  <si>
    <t>GTS-1</t>
  </si>
  <si>
    <t>Eel.5-1</t>
  </si>
  <si>
    <t>Ee2-1</t>
  </si>
  <si>
    <t>Q511-2</t>
  </si>
  <si>
    <t>Q526-2</t>
  </si>
  <si>
    <t>XJ-1</t>
  </si>
  <si>
    <t>kw3</t>
  </si>
  <si>
    <t>XJ-5-2</t>
  </si>
  <si>
    <t>T1-3</t>
  </si>
  <si>
    <t>Xzy-2</t>
  </si>
  <si>
    <t>陈毓蔚1980.我国显生代金属矿床铅同位素 组成特征及其成因探讨.地球化學3: 215-229</t>
  </si>
  <si>
    <t>Ee3_2</t>
  </si>
  <si>
    <t>Xzy-3</t>
  </si>
  <si>
    <t>祁思敬等1993.節錄於任鹏.2013.陕西秦岭铅锌矿床的地质特征及成矿动力学过程.地球科學與環境學報35(1): 34-47</t>
  </si>
  <si>
    <t>Q072-2</t>
  </si>
  <si>
    <t>Q202-2</t>
  </si>
  <si>
    <t>WL-5</t>
  </si>
  <si>
    <t>T3-1</t>
  </si>
  <si>
    <t>T2.硅-2</t>
  </si>
  <si>
    <t>T1-2</t>
  </si>
  <si>
    <t>老厂铅锌矿床</t>
  </si>
  <si>
    <t>CM9-3</t>
  </si>
  <si>
    <t>徐鸣.2009.陕西老厂块状硫化物型铅锌矿床硫铅同位素特征及其地质意义.資源環境與工程23(2): 114-118</t>
  </si>
  <si>
    <t>TY8503-1</t>
  </si>
  <si>
    <t>王廷瑞.2005.節錄於任鹏.2014.秦岭凤太矿集区喷流沉积型铅锌矿床S、Pb同位素地球化学特征</t>
  </si>
  <si>
    <t>TY8503-2</t>
  </si>
  <si>
    <t>XJ-4</t>
  </si>
  <si>
    <t>小沟里金矿床</t>
  </si>
  <si>
    <t>孙省利未發表.節錄於張旺定.2001.甘肃西成地区金、铅锌矿床成矿系列与时空分布规律.西北大學碩士論文</t>
  </si>
  <si>
    <t>905</t>
  </si>
  <si>
    <t>方维萱.1999.陕西铅硐山大型铅锌矿床热水沉积岩相特征.沉積學報17(1)</t>
  </si>
  <si>
    <t>Q052-2</t>
  </si>
  <si>
    <t>TY8503-3</t>
  </si>
  <si>
    <t>淋湘金矿</t>
  </si>
  <si>
    <t>D200</t>
  </si>
  <si>
    <t>邹海洋.2001.淋湘金矿地球化学特征.中南工業大學學報32(2): 111-114</t>
  </si>
  <si>
    <t>03-37</t>
  </si>
  <si>
    <t>[1]徐林刚,郑伟.南秦岭旬阳盆地志留纪黑色岩系与Pb-Zn矿床成矿的关系[J].地质学报,2021,95(06):1854-1867.DOI:10.19762/j.cnki.dizhixuebao.2021281.</t>
  </si>
  <si>
    <t>马鞍桥金矿床</t>
  </si>
  <si>
    <t>MP-1</t>
  </si>
  <si>
    <t>隗合明.1999.節錄於朱赖民.2009.陕西省马鞍桥金矿床地质特征、同位素地球化学与矿床成因.岩石學報25(2): 431-433</t>
  </si>
  <si>
    <t>kw2</t>
  </si>
  <si>
    <t>Xzy-1</t>
  </si>
  <si>
    <t>GZGK-2</t>
  </si>
  <si>
    <t>西秦岭</t>
    <phoneticPr fontId="2" type="noConversion"/>
  </si>
  <si>
    <t>Sample3</t>
  </si>
  <si>
    <t>Sample9</t>
  </si>
  <si>
    <t>LBL-8</t>
  </si>
  <si>
    <t>Sample13</t>
  </si>
  <si>
    <t>JZK1408-20</t>
  </si>
  <si>
    <t>LBL-2</t>
  </si>
  <si>
    <t>八卦庙金矿床</t>
    <phoneticPr fontId="2" type="noConversion"/>
  </si>
  <si>
    <t>S-24-8.1</t>
  </si>
  <si>
    <t>顺层脉</t>
  </si>
  <si>
    <t>S-27-2.1</t>
  </si>
  <si>
    <t>千枚岩</t>
  </si>
  <si>
    <t>LBL-1</t>
  </si>
  <si>
    <t>Sample11</t>
  </si>
  <si>
    <t>S-27-5.1</t>
  </si>
  <si>
    <t>S-27-2.3</t>
  </si>
  <si>
    <t>Sample7</t>
  </si>
  <si>
    <t>S-27-6.1</t>
  </si>
  <si>
    <t>91-111</t>
  </si>
  <si>
    <t>LB26-13</t>
  </si>
  <si>
    <t>S-24-3.2</t>
  </si>
  <si>
    <t>S-47-2.1</t>
  </si>
  <si>
    <t>S-24-3.1</t>
  </si>
  <si>
    <t>S-24-8.2</t>
  </si>
  <si>
    <t>S-24-1.2</t>
  </si>
  <si>
    <t>S-22-7.1</t>
    <phoneticPr fontId="1" type="noConversion"/>
  </si>
  <si>
    <t>节理脉</t>
  </si>
  <si>
    <t>S-22-2.2</t>
  </si>
  <si>
    <t>S-24-4.2</t>
  </si>
  <si>
    <t>S-22-4.5</t>
  </si>
  <si>
    <t>S-22-4.1</t>
  </si>
  <si>
    <t>S-20-1.1</t>
  </si>
  <si>
    <t>QSL-8</t>
  </si>
  <si>
    <t>S-24-4.1</t>
  </si>
  <si>
    <t>QSL-4</t>
  </si>
  <si>
    <t>S-47-4.2</t>
  </si>
  <si>
    <t>S-22-4.2</t>
  </si>
  <si>
    <t>QSL-3</t>
  </si>
  <si>
    <t>QSL.-6</t>
  </si>
  <si>
    <t>S-22-5.2</t>
  </si>
  <si>
    <t>QS-3B</t>
  </si>
  <si>
    <t>S-20-3.1</t>
  </si>
  <si>
    <t>IZK1609-11</t>
  </si>
  <si>
    <t>LB26-1</t>
  </si>
  <si>
    <t>Sample 29</t>
    <phoneticPr fontId="2" type="noConversion"/>
  </si>
  <si>
    <t>Sample6</t>
  </si>
  <si>
    <t>QS-2</t>
  </si>
  <si>
    <t>QS-6B2</t>
  </si>
  <si>
    <t>QS-5B</t>
  </si>
  <si>
    <t>QS-4B</t>
  </si>
  <si>
    <t>QS-11</t>
  </si>
  <si>
    <t>QS-6B</t>
  </si>
  <si>
    <t>JZK809-7</t>
  </si>
  <si>
    <t>Q5-5股</t>
  </si>
  <si>
    <t>QS-8</t>
  </si>
  <si>
    <t>Sample1</t>
    <phoneticPr fontId="2" type="noConversion"/>
  </si>
  <si>
    <t>Sample12</t>
  </si>
  <si>
    <t>LB26-7</t>
  </si>
  <si>
    <t>Sample14</t>
  </si>
  <si>
    <t>LHL9</t>
  </si>
  <si>
    <t>Sample10</t>
  </si>
  <si>
    <t>LBL-10</t>
  </si>
  <si>
    <t>LB26-11</t>
  </si>
  <si>
    <t>LB26-14</t>
  </si>
  <si>
    <t>QSL-2</t>
  </si>
  <si>
    <t>QSL-5</t>
  </si>
  <si>
    <t>LB26-9</t>
  </si>
  <si>
    <t>LB26-3</t>
  </si>
  <si>
    <t>LB26-2</t>
  </si>
  <si>
    <t>Sample4</t>
  </si>
  <si>
    <t>L.B26-</t>
  </si>
  <si>
    <t>QS-7</t>
  </si>
  <si>
    <t>LBL-6</t>
  </si>
  <si>
    <t>91-142</t>
  </si>
  <si>
    <t>QS-4</t>
  </si>
  <si>
    <t>LB44-1</t>
  </si>
  <si>
    <t>LB44-4</t>
  </si>
  <si>
    <t>Sample8</t>
  </si>
  <si>
    <t>QS-1</t>
  </si>
  <si>
    <t>LB26-12</t>
  </si>
  <si>
    <t>PD2-1</t>
  </si>
  <si>
    <t>Sample5</t>
  </si>
  <si>
    <t>91-240</t>
  </si>
  <si>
    <t>Sample2</t>
  </si>
  <si>
    <t>Sample15</t>
  </si>
  <si>
    <t>L.BL-7</t>
  </si>
  <si>
    <t>小秦岭</t>
    <phoneticPr fontId="2" type="noConversion"/>
  </si>
  <si>
    <t>Sample 31</t>
  </si>
  <si>
    <t>东桐峪金矿</t>
  </si>
  <si>
    <t>李英.1990.华北地台南缘铅同位素演化.西安地質學院學報12(2): 1-11</t>
  </si>
  <si>
    <t>Sample 38</t>
    <phoneticPr fontId="2" type="noConversion"/>
  </si>
  <si>
    <t>潼峪金矿</t>
  </si>
  <si>
    <t>尉向东.1997.豫西地区金矿的氧、铅、碳同位素特征与成矿流体.貴金屬地質6(2): 114-123</t>
  </si>
  <si>
    <t>Sample 28</t>
  </si>
  <si>
    <t>Sample 30</t>
    <phoneticPr fontId="2" type="noConversion"/>
  </si>
  <si>
    <t>潼关金矿</t>
  </si>
  <si>
    <t>灵湖金矿床</t>
  </si>
  <si>
    <t>LH112</t>
  </si>
  <si>
    <t>Sample 27</t>
    <phoneticPr fontId="2" type="noConversion"/>
  </si>
  <si>
    <t>LH90</t>
  </si>
  <si>
    <t>Sample 41</t>
  </si>
  <si>
    <t>LH84</t>
  </si>
  <si>
    <t>Sample 39</t>
  </si>
  <si>
    <t>Sample 42</t>
  </si>
  <si>
    <t>LH104</t>
  </si>
  <si>
    <t>Sample 40</t>
  </si>
  <si>
    <t>镰子沟金矿床</t>
    <phoneticPr fontId="2" type="noConversion"/>
  </si>
  <si>
    <t>131zg-107</t>
    <phoneticPr fontId="2" type="noConversion"/>
  </si>
  <si>
    <t>王雷等.2018.小秦岭镰子沟金矿床成矿物质来源与成矿过程.地質學報92(2): 341-358</t>
    <phoneticPr fontId="2" type="noConversion"/>
  </si>
  <si>
    <t>LH106</t>
  </si>
  <si>
    <t>131zg-7</t>
    <phoneticPr fontId="2" type="noConversion"/>
  </si>
  <si>
    <t>Sample 33</t>
    <phoneticPr fontId="2" type="noConversion"/>
  </si>
  <si>
    <t>Sample 36</t>
    <phoneticPr fontId="2" type="noConversion"/>
  </si>
  <si>
    <t>LH103</t>
  </si>
  <si>
    <t>131zg-31</t>
    <phoneticPr fontId="2" type="noConversion"/>
  </si>
  <si>
    <t>Sample 34</t>
  </si>
  <si>
    <t>North Qinling</t>
    <phoneticPr fontId="2" type="noConversion"/>
  </si>
  <si>
    <t>East Qinling</t>
    <phoneticPr fontId="2" type="noConversion"/>
  </si>
  <si>
    <t>South Qinling</t>
    <phoneticPr fontId="2" type="noConversion"/>
  </si>
  <si>
    <t>West Qinling</t>
    <phoneticPr fontId="2" type="noConversion"/>
  </si>
  <si>
    <t xml:space="preserve">Xiao Qinling </t>
    <phoneticPr fontId="1" type="noConversion"/>
  </si>
  <si>
    <t>昝培. 东秦岭豫西板厂金钼成矿带岩浆演化与成矿作用研究[D].中国地质大学,2023.DOI:10.27492/d.cnki.gzdzu.2022.000025.</t>
    <phoneticPr fontId="1" type="noConversion"/>
  </si>
  <si>
    <t>李军亭,陈书中.东秦岭龙门店银铅锌矿稳定同位素组成特征研究[J].能源与环保,2021,43(04):76-81.DOI:10.19389/j.cnki.1003-0506.2021.04.013.</t>
    <phoneticPr fontId="1" type="noConversion"/>
  </si>
  <si>
    <t>李军亭,陈书中.东秦岭龙门店银铅锌矿稳定同位素组成特征研究[J].能源与环保,2021,43(04):76-81.DOI:10.19389/j.cnki.1003-0506.2021.04.014.</t>
  </si>
  <si>
    <t>李军亭,陈书中.东秦岭龙门店银铅锌矿稳定同位素组成特征研究[J].能源与环保,2021,43(04):76-81.DOI:10.19389/j.cnki.1003-0506.2021.04.015.</t>
  </si>
  <si>
    <t>李军亭,陈书中.东秦岭龙门店银铅锌矿稳定同位素组成特征研究[J].能源与环保,2021,43(04):76-81.DOI:10.19389/j.cnki.1003-0506.2021.04.016.</t>
  </si>
  <si>
    <t>李军亭,陈书中.东秦岭龙门店银铅锌矿稳定同位素组成特征研究[J].能源与环保,2021,43(04):76-81.DOI:10.19389/j.cnki.1003-0506.2021.04.017.</t>
  </si>
  <si>
    <t>李军亭,陈书中.东秦岭龙门店银铅锌矿稳定同位素组成特征研究[J].能源与环保,2021,43(04):76-81.DOI:10.19389/j.cnki.1003-0506.2021.04.018.</t>
  </si>
  <si>
    <t>李军亭,陈书中.东秦岭龙门店银铅锌矿稳定同位素组成特征研究[J].能源与环保,2021,43(04):76-81.DOI:10.19389/j.cnki.1003-0506.2021.04.019.</t>
  </si>
  <si>
    <t>李军亭,陈书中.东秦岭龙门店银铅锌矿稳定同位素组成特征研究[J].能源与环保,2021,43(04):76-81.DOI:10.19389/j.cnki.1003-0506.2021.04.014.</t>
    <phoneticPr fontId="1" type="noConversion"/>
  </si>
  <si>
    <t>昝培. 东秦岭豫西板厂金钼成矿带岩浆演化与成矿作用研究[D].中国地质大学,2023.DOI:10.27492/d.cnki.gzdzu.2022.000031.</t>
    <phoneticPr fontId="1" type="noConversion"/>
  </si>
  <si>
    <t>昝培. 东秦岭豫西板厂金钼成矿带岩浆演化与成矿作用研究[D].中国地质大学,2023.DOI:10.27492/d.cnki.gzdzu.2022.000032.</t>
  </si>
  <si>
    <t>昝培. 东秦岭豫西板厂金钼成矿带岩浆演化与成矿作用研究[D].中国地质大学,2023.DOI:10.27492/d.cnki.gzdzu.2022.000033.</t>
  </si>
  <si>
    <t>昝培. 东秦岭豫西板厂金钼成矿带岩浆演化与成矿作用研究[D].中国地质大学,2023.DOI:10.27492/d.cnki.gzdzu.2022.000034.</t>
  </si>
  <si>
    <t>昝培. 东秦岭豫西板厂金钼成矿带岩浆演化与成矿作用研究[D].中国地质大学,2023.DOI:10.27492/d.cnki.gzdzu.2022.000035.</t>
  </si>
  <si>
    <t>昝培. 东秦岭豫西板厂金钼成矿带岩浆演化与成矿作用研究[D].中国地质大学,2023.DOI:10.27492/d.cnki.gzdzu.2022.000036.</t>
  </si>
  <si>
    <t>昝培. 东秦岭豫西板厂金钼成矿带岩浆演化与成矿作用研究[D].中国地质大学,2023.DOI:10.27492/d.cnki.gzdzu.2022.000037.</t>
  </si>
  <si>
    <t>昝培. 东秦岭豫西板厂金钼成矿带岩浆演化与成矿作用研究[D].中国地质大学,2023.DOI:10.27492/d.cnki.gzdzu.2022.000038.</t>
  </si>
  <si>
    <t>昝培. 东秦岭豫西板厂金钼成矿带岩浆演化与成矿作用研究[D].中国地质大学,2023.DOI:10.27492/d.cnki.gzdzu.2022.000039.</t>
  </si>
  <si>
    <t>昝培. 东秦岭豫西板厂金钼成矿带岩浆演化与成矿作用研究[D].中国地质大学,2023.DOI:10.27492/d.cnki.gzdzu.2022.000040.</t>
  </si>
  <si>
    <t>昝培. 东秦岭豫西板厂金钼成矿带岩浆演化与成矿作用研究[D].中国地质大学,2023.DOI:10.27492/d.cnki.gzdzu.2022.000041.</t>
  </si>
  <si>
    <t>昝培. 东秦岭豫西板厂金钼成矿带岩浆演化与成矿作用研究[D].中国地质大学,2023.DOI:10.27492/d.cnki.gzdzu.2022.000042.</t>
  </si>
  <si>
    <t>昝培. 东秦岭豫西板厂金钼成矿带岩浆演化与成矿作用研究[D].中国地质大学,2023.DOI:10.27492/d.cnki.gzdzu.2022.000043.</t>
  </si>
  <si>
    <t>徐林刚,郑伟.南秦岭旬阳盆地志留纪黑色岩系与Pb-Zn矿床成矿的关系[J].地质学报,2021,95(06):1854-1867.DOI:10.19762/j.cnki.dizhixuebao.2021287.</t>
    <phoneticPr fontId="1" type="noConversion"/>
  </si>
  <si>
    <t>徐林刚,郑伟.南秦岭旬阳盆地志留纪黑色岩系与Pb-Zn矿床成矿的关系[J].地质学报,2021,95(06):1854-1867.DOI:10.19762/j.cnki.dizhixuebao.2021267.</t>
  </si>
  <si>
    <t>徐林刚,郑伟.南秦岭旬阳盆地志留纪黑色岩系与Pb-Zn矿床成矿的关系[J].地质学报,2021,95(06):1854-1867.DOI:10.19762/j.cnki.dizhixuebao.2021267.</t>
    <phoneticPr fontId="1" type="noConversion"/>
  </si>
  <si>
    <t>徐林刚,郑伟.南秦岭旬阳盆地志留纪黑色岩系与Pb-Zn矿床成矿的关系[J].地质学报,2021,95(06):1854-1867.DOI:10.19762/j.cnki.dizhixuebao.2021268.</t>
  </si>
  <si>
    <t>徐林刚,郑伟.南秦岭旬阳盆地志留纪黑色岩系与Pb-Zn矿床成矿的关系[J].地质学报,2021,95(06):1854-1867.DOI:10.19762/j.cnki.dizhixuebao.2021269.</t>
  </si>
  <si>
    <t>徐林刚,郑伟.南秦岭旬阳盆地志留纪黑色岩系与Pb-Zn矿床成矿的关系[J].地质学报,2021,95(06):1854-1867.DOI:10.19762/j.cnki.dizhixuebao.2021273.</t>
    <phoneticPr fontId="1" type="noConversion"/>
  </si>
  <si>
    <t>徐林刚,郑伟.南秦岭旬阳盆地志留纪黑色岩系与Pb-Zn矿床成矿的关系[J].地质学报,2021,95(06):1854-1867.DOI:10.19762/j.cnki.dizhixuebao.2021274.</t>
  </si>
  <si>
    <t>徐林刚,郑伟.南秦岭旬阳盆地志留纪黑色岩系与Pb-Zn矿床成矿的关系[J].地质学报,2021,95(06):1854-1867.DOI:10.19762/j.cnki.dizhixuebao.2021275.</t>
  </si>
  <si>
    <t>徐林刚,郑伟.南秦岭旬阳盆地志留纪黑色岩系与Pb-Zn矿床成矿的关系[J].地质学报,2021,95(06):1854-1867.DOI:10.19762/j.cnki.dizhixuebao.2021276.</t>
  </si>
  <si>
    <t>徐林刚,郑伟.南秦岭旬阳盆地志留纪黑色岩系与Pb-Zn矿床成矿的关系[J].地质学报,2021,95(06):1854-1867.DOI:10.19762/j.cnki.dizhixuebao.2021277.</t>
  </si>
  <si>
    <t>徐林刚,郑伟.南秦岭旬阳盆地志留纪黑色岩系与Pb-Zn矿床成矿的关系[J].地质学报,2021,95(06):1854-1867.DOI:10.19762/j.cnki.dizhixuebao.2021278.</t>
    <phoneticPr fontId="1" type="noConversion"/>
  </si>
  <si>
    <t>徐林刚,郑伟.南秦岭旬阳盆地志留纪黑色岩系与Pb-Zn矿床成矿的关系[J].地质学报,2021,95(06):1854-1867.DOI:10.19762/j.cnki.dizhixuebao.2021279.</t>
  </si>
  <si>
    <t>徐林刚,郑伟.南秦岭旬阳盆地志留纪黑色岩系与Pb-Zn矿床成矿的关系[J].地质学报,2021,95(06):1854-1867.DOI:10.19762/j.cnki.dizhixuebao.2021280.</t>
  </si>
  <si>
    <t>徐林刚,郑伟.南秦岭旬阳盆地志留纪黑色岩系与Pb-Zn矿床成矿的关系[J].地质学报,2021,95(06):1854-1867.DOI:10.19762/j.cnki.dizhixuebao.2021281.</t>
  </si>
  <si>
    <t>徐林刚,郑伟.南秦岭旬阳盆地志留纪黑色岩系与Pb-Zn矿床成矿的关系[J].地质学报,2021,95(06):1854-1867.DOI:10.19762/j.cnki.dizhixuebao.2021256.</t>
    <phoneticPr fontId="1" type="noConversion"/>
  </si>
  <si>
    <t>徐林刚,郑伟.南秦岭旬阳盆地志留纪黑色岩系与Pb-Zn矿床成矿的关系[J].地质学报,2021,95(06):1854-1867.DOI:10.19762/j.cnki.dizhixuebao.2021257.</t>
  </si>
  <si>
    <t>徐林刚,郑伟.南秦岭旬阳盆地志留纪黑色岩系与Pb-Zn矿床成矿的关系[J].地质学报,2021,95(06):1854-1867.DOI:10.19762/j.cnki.dizhixuebao.2021258.</t>
  </si>
  <si>
    <t>徐林刚,郑伟.南秦岭旬阳盆地志留纪黑色岩系与Pb-Zn矿床成矿的关系[J].地质学报,2021,95(06):1854-1867.DOI:10.19762/j.cnki.dizhixuebao.2021259.</t>
  </si>
  <si>
    <t>徐林刚,郑伟.南秦岭旬阳盆地志留纪黑色岩系与Pb-Zn矿床成矿的关系[J].地质学报,2021,95(06):1854-1867.DOI:10.19762/j.cnki.dizhixuebao.2021260.</t>
  </si>
  <si>
    <t>徐林刚,郑伟.南秦岭旬阳盆地志留纪黑色岩系与Pb-Zn矿床成矿的关系[J].地质学报,2021,95(06):1854-1867.DOI:10.19762/j.cnki.dizhixuebao.2021264.</t>
    <phoneticPr fontId="1" type="noConversion"/>
  </si>
  <si>
    <t>徐林刚,郑伟.南秦岭旬阳盆地志留纪黑色岩系与Pb-Zn矿床成矿的关系[J].地质学报,2021,95(06):1854-1867.DOI:10.19762/j.cnki.dizhixuebao.2021265.</t>
  </si>
  <si>
    <t>徐林刚,郑伟.南秦岭旬阳盆地志留纪黑色岩系与Pb-Zn矿床成矿的关系[J].地质学报,2021,95(06):1854-1867.DOI:10.19762/j.cnki.dizhixuebao.2021266.</t>
  </si>
  <si>
    <t>徐林刚,郑伟.南秦岭旬阳盆地志留纪黑色岩系与Pb-Zn矿床成矿的关系[J].地质学报,2021,95(06):1854-1867.DOI:10.19762/j.cnki.dizhixuebao.2021270.</t>
  </si>
  <si>
    <t>徐林刚,郑伟.南秦岭旬阳盆地志留纪黑色岩系与Pb-Zn矿床成矿的关系[J].地质学报,2021,95(06):1854-1867.DOI:10.19762/j.cnki.dizhixuebao.2021260.</t>
    <phoneticPr fontId="1" type="noConversion"/>
  </si>
  <si>
    <t>徐林刚,郑伟.南秦岭旬阳盆地志留纪黑色岩系与Pb-Zn矿床成矿的关系[J].地质学报,2021,95(06):1854-1867.DOI:10.19762/j.cnki.dizhixuebao.2021261.</t>
  </si>
  <si>
    <t>徐林刚,郑伟.南秦岭旬阳盆地志留纪黑色岩系与Pb-Zn矿床成矿的关系[J].地质学报,2021,95(06):1854-1867.DOI:10.19762/j.cnki.dizhixuebao.2021262.</t>
  </si>
  <si>
    <t>徐林刚,郑伟.南秦岭旬阳盆地志留纪黑色岩系与Pb-Zn矿床成矿的关系[J].地质学报,2021,95(06):1854-1867.DOI:10.19762/j.cnki.dizhixuebao.2021263.</t>
  </si>
  <si>
    <t>徐林刚,郑伟.南秦岭旬阳盆地志留纪黑色岩系与Pb-Zn矿床成矿的关系[J].地质学报,2021,95(06):1854-1867.DOI:10.19762/j.cnki.dizhixuebao.2021288.</t>
    <phoneticPr fontId="1" type="noConversion"/>
  </si>
  <si>
    <t>徐林刚,郑伟.南秦岭旬阳盆地志留纪黑色岩系与Pb-Zn矿床成矿的关系[J].地质学报,2021,95(06):1854-1867.DOI:10.19762/j.cnki.dizhixuebao.2021289.</t>
  </si>
  <si>
    <t>徐林刚,郑伟.南秦岭旬阳盆地志留纪黑色岩系与Pb-Zn矿床成矿的关系[J].地质学报,2021,95(06):1854-1867.DOI:10.19762/j.cnki.dizhixuebao.2021290.</t>
  </si>
  <si>
    <t>徐林刚,郑伟.南秦岭旬阳盆地志留纪黑色岩系与Pb-Zn矿床成矿的关系[J].地质学报,2021,95(06):1854-1867.DOI:10.19762/j.cnki.dizhixuebao.2021286.</t>
    <phoneticPr fontId="1" type="noConversion"/>
  </si>
  <si>
    <t>徐林刚,郑伟.南秦岭旬阳盆地志留纪黑色岩系与Pb-Zn矿床成矿的关系[J].地质学报,2021,95(06):1854-1867.DOI:10.19762/j.cnki.dizhixuebao.2021285.</t>
    <phoneticPr fontId="1" type="noConversion"/>
  </si>
  <si>
    <t>徐林刚,郑伟.南秦岭旬阳盆地志留纪黑色岩系与Pb-Zn矿床成矿的关系[J].地质学报,2021,95(06):1854-1867.DOI:10.19762/j.cnki.dizhixuebao.2021269.</t>
    <phoneticPr fontId="1" type="noConversion"/>
  </si>
  <si>
    <t>林锐华,杨秀峰,刘行等.北秦岭东段柳树湾花岗伟晶岩型铀矿床铅同位素特征与成矿作用探讨[J].地质找矿论丛,2021,36(01):48-59.</t>
    <phoneticPr fontId="1" type="noConversion"/>
  </si>
  <si>
    <t>林锐华,杨秀峰,刘行等.北秦岭东段柳树湾花岗伟晶岩型铀矿床铅同位素特征与成矿作用探讨[J].地质找矿论丛,2021,36(01):48-60.</t>
    <phoneticPr fontId="1" type="noConversion"/>
  </si>
  <si>
    <t>林锐华,杨秀峰,刘行等.北秦岭东段柳树湾花岗伟晶岩型铀矿床铅同位素特征与成矿作用探讨[J].地质找矿论丛,2021,36(01):48-55.</t>
    <phoneticPr fontId="1" type="noConversion"/>
  </si>
  <si>
    <t>林锐华,杨秀峰,刘行等.北秦岭东段柳树湾花岗伟晶岩型铀矿床铅同位素特征与成矿作用探讨[J].地质找矿论丛,2021,36(01):48-56.</t>
  </si>
  <si>
    <t>林锐华,杨秀峰,刘行等.北秦岭东段柳树湾花岗伟晶岩型铀矿床铅同位素特征与成矿作用探讨[J].地质找矿论丛,2021,36(01):48-57.</t>
  </si>
  <si>
    <t>昝培. 东秦岭豫西板厂金钼成矿带岩浆演化与成矿作用研究[D].中国地质大学,2023.DOI:10.27492/d.cnki.gzdzu.2022.000030.</t>
    <phoneticPr fontId="1" type="noConversion"/>
  </si>
  <si>
    <t>昝培. 东秦岭豫西板厂金钼成矿带岩浆演化与成矿作用研究[D].中国地质大学,2023.DOI:10.27492/d.cnki.gzdzu.2022.000017.</t>
    <phoneticPr fontId="1" type="noConversion"/>
  </si>
  <si>
    <t>李军亭,陈书中.东秦岭龙门店银铅锌矿稳定同位素组成特征研究[J].能源与环保,2021,43(04):76-81.DOI:10.19389/j.cnki.1003-0506.2021.04.020.</t>
    <phoneticPr fontId="1" type="noConversion"/>
  </si>
  <si>
    <t>王雷. 小秦岭镰子沟金矿床地质地球化学特征与矿床成因探讨[D].中国地质大学(北京),2035.</t>
  </si>
  <si>
    <t>王雷. 小秦岭镰子沟金矿床地质地球化学特征与矿床成因探讨[D].中国地质大学(北京),2035.</t>
    <phoneticPr fontId="1" type="noConversion"/>
  </si>
  <si>
    <t>王雷. 小秦岭镰子沟金矿床地质地球化学特征与矿床成因探讨[D].中国地质大学(北京),2036.</t>
  </si>
  <si>
    <t>王雷. 小秦岭镰子沟金矿床地质地球化学特征与矿床成因探讨[D].中国地质大学(北京),2045.</t>
    <phoneticPr fontId="1" type="noConversion"/>
  </si>
  <si>
    <t>李蓓,朱赖民,丁乐乐等.西秦岭李坝金矿床地质、同位素地球化学及其成因探讨[J].地质学报,2021,95(02):427-448.DOI:10.19762/j.cnki.dizhixuebao.2020274.</t>
    <phoneticPr fontId="1" type="noConversion"/>
  </si>
  <si>
    <t>李康宁,张江苏,徐进等.西秦岭甘南加甘滩金矿床流体包裹体及氢-氧-硫-铅同位素特征[J].地质通报,2023,42(06):941-952.</t>
    <phoneticPr fontId="1" type="noConversion"/>
  </si>
  <si>
    <t>李蓓,朱赖民,丁乐乐等.西秦岭李坝金矿床地质、同位素地球化学及其成因探讨[J].地质学报,2021,95(02):427-448.DOI:10.19762/j.cnki.dizhixuebao.2020272.</t>
    <phoneticPr fontId="1" type="noConversion"/>
  </si>
  <si>
    <t>徐一帆,贺文彬,安芳等.西秦岭八卦庙金矿床原位S-Pb同位素组成对成矿物质来源和成矿过程的指示意义[J].矿床地质,2023,42(04):773-790.DOI:10.16111/j.0258-7106.2023.04.020.</t>
  </si>
  <si>
    <t>徐一帆,贺文彬,安芳等.西秦岭八卦庙金矿床原位S-Pb同位素组成对成矿物质来源和成矿过程的指示意义[J].矿床地质,2023,42(04):773-790.DOI:10.16111/j.0258-7106.2023.04.020.</t>
    <phoneticPr fontId="1" type="noConversion"/>
  </si>
  <si>
    <t>徐一帆,贺文彬,安芳等.西秦岭八卦庙金矿床原位S-Pb同位素组成对成矿物质来源和成矿过程的指示意义[J].矿床地质,2023,42(04):773-790.DOI:10.16111/j.0258-7106.2023.04.008.</t>
    <phoneticPr fontId="1" type="noConversion"/>
  </si>
  <si>
    <t>李蓓,朱赖民,丁乐乐等.西秦岭李坝金矿床地质、同位素地球化学及其成因探讨[J].地质学报,2021,95(02):427-448.DOI:10.19762/j.cnki.dizhixuebao.2020271.</t>
    <phoneticPr fontId="1" type="noConversion"/>
  </si>
  <si>
    <t>王雷. 小秦岭镰子沟金矿床地质地球化学特征与矿床成因探讨[D].中国地质大学(北京),2043.</t>
    <phoneticPr fontId="1" type="noConversion"/>
  </si>
  <si>
    <t>徐一帆,贺文彬,安芳等.西秦岭八卦庙金矿床原位S-Pb同位素组成对成矿物质来源和成矿过程的指示意义[J].矿床地质,2023,42(04):773-790.DOI:10.16111/j.0258-7106.2023.04.010.</t>
    <phoneticPr fontId="1" type="noConversion"/>
  </si>
  <si>
    <t>徐一帆,贺文彬,安芳等.西秦岭八卦庙金矿床原位S-Pb同位素组成对成矿物质来源和成矿过程的指示意义[J].矿床地质,2023,42(04):773-790.DOI:10.16111/j.0258-7106.2023.04.009.</t>
    <phoneticPr fontId="1" type="noConversion"/>
  </si>
  <si>
    <t>王雷. 小秦岭镰子沟金矿床地质地球化学特征与矿床成因探讨[D].中国地质大学(北京),2039.</t>
    <phoneticPr fontId="1" type="noConversion"/>
  </si>
  <si>
    <t>徐一帆,贺文彬,安芳等.西秦岭八卦庙金矿床原位S-Pb同位素组成对成矿物质来源和成矿过程的指示意义[J].矿床地质,2023,42(04):773-790.DOI:10.16111/j.0258-7106.2023.04.011.</t>
    <phoneticPr fontId="1" type="noConversion"/>
  </si>
  <si>
    <t>王雷. 小秦岭镰子沟金矿床地质地球化学特征与矿床成因探讨[D].中国地质大学(北京),2030.</t>
    <phoneticPr fontId="1" type="noConversion"/>
  </si>
  <si>
    <t>李蓓,朱赖民,丁乐乐等.西秦岭李坝金矿床地质、同位素地球化学及其成因探讨[J].地质学报,2021,95(02):427-448.DOI:10.19762/j.cnki.dizhixuebao.2020282.</t>
  </si>
  <si>
    <t>李蓓,朱赖民,丁乐乐等.西秦岭李坝金矿床地质、同位素地球化学及其成因探讨[J].地质学报,2021,95(02):427-448.DOI:10.19762/j.cnki.dizhixuebao.2020282.</t>
    <phoneticPr fontId="1" type="noConversion"/>
  </si>
  <si>
    <t>徐一帆,贺文彬,安芳等.西秦岭八卦庙金矿床原位S-Pb同位素组成对成矿物质来源和成矿过程的指示意义[J].矿床地质,2023,42(04):773-790.DOI:10.16111/j.0258-7106.2023.04.016.</t>
    <phoneticPr fontId="1" type="noConversion"/>
  </si>
  <si>
    <t>徐一帆,贺文彬,安芳等.西秦岭八卦庙金矿床原位S-Pb同位素组成对成矿物质来源和成矿过程的指示意义[J].矿床地质,2023,42(04):773-790.DOI:10.16111/j.0258-7106.2023.04.017.</t>
  </si>
  <si>
    <t>徐一帆,贺文彬,安芳等.西秦岭八卦庙金矿床原位S-Pb同位素组成对成矿物质来源和成矿过程的指示意义[J].矿床地质,2023,42(04):773-790.DOI:10.16111/j.0258-7106.2023.04.018.</t>
  </si>
  <si>
    <t>徐一帆,贺文彬,安芳等.西秦岭八卦庙金矿床原位S-Pb同位素组成对成矿物质来源和成矿过程的指示意义[J].矿床地质,2023,42(04):773-790.DOI:10.16111/j.0258-7106.2023.04.019.</t>
  </si>
  <si>
    <t>徐一帆,贺文彬,安芳等.西秦岭八卦庙金矿床原位S-Pb同位素组成对成矿物质来源和成矿过程的指示意义[J].矿床地质,2023,42(04):773-790.DOI:10.16111/j.0258-7106.2023.04.021.</t>
  </si>
  <si>
    <t>徐一帆,贺文彬,安芳等.西秦岭八卦庙金矿床原位S-Pb同位素组成对成矿物质来源和成矿过程的指示意义[J].矿床地质,2023,42(04):773-790.DOI:10.16111/j.0258-7106.2023.04.022.</t>
  </si>
  <si>
    <t>徐一帆,贺文彬,安芳等.西秦岭八卦庙金矿床原位S-Pb同位素组成对成矿物质来源和成矿过程的指示意义[J].矿床地质,2023,42(04):773-790.DOI:10.16111/j.0258-7106.2023.04.023.</t>
  </si>
  <si>
    <t>徐一帆,贺文彬,安芳等.西秦岭八卦庙金矿床原位S-Pb同位素组成对成矿物质来源和成矿过程的指示意义[J].矿床地质,2023,42(04):773-790.DOI:10.16111/j.0258-7106.2023.04.024.</t>
  </si>
  <si>
    <t>徐一帆,贺文彬,安芳等.西秦岭八卦庙金矿床原位S-Pb同位素组成对成矿物质来源和成矿过程的指示意义[J].矿床地质,2023,42(04):773-790.DOI:10.16111/j.0258-7106.2023.04.025.</t>
  </si>
  <si>
    <t>徐一帆,贺文彬,安芳等.西秦岭八卦庙金矿床原位S-Pb同位素组成对成矿物质来源和成矿过程的指示意义[J].矿床地质,2023,42(04):773-790.DOI:10.16111/j.0258-7106.2023.04.026.</t>
  </si>
  <si>
    <t>李蓓,朱赖民,丁乐乐等.西秦岭李坝金矿床地质、同位素地球化学及其成因探讨[J].地质学报,2021,95(02):427-448.DOI:10.19762/j.cnki.dizhixuebao.2020249.</t>
    <phoneticPr fontId="1" type="noConversion"/>
  </si>
  <si>
    <t>徐一帆,贺文彬,安芳等.西秦岭八卦庙金矿床原位S-Pb同位素组成对成矿物质来源和成矿过程的指示意义[J].矿床地质,2023,42(04):773-790.DOI:10.16111/j.0258-7106.2023.04.018.</t>
    <phoneticPr fontId="1" type="noConversion"/>
  </si>
  <si>
    <t>李蓓,朱赖民,丁乐乐等.西秦岭李坝金矿床地质、同位素地球化学及其成因探讨[J].地质学报,2021,95(02):427-448.DOI:10.19762/j.cnki.dizhixuebao.2020247.</t>
  </si>
  <si>
    <t>李蓓,朱赖民,丁乐乐等.西秦岭李坝金矿床地质、同位素地球化学及其成因探讨[J].地质学报,2021,95(02):427-448.DOI:10.19762/j.cnki.dizhixuebao.2020247.</t>
    <phoneticPr fontId="1" type="noConversion"/>
  </si>
  <si>
    <t>徐一帆,贺文彬,安芳等.西秦岭八卦庙金矿床原位S-Pb同位素组成对成矿物质来源和成矿过程的指示意义[J].矿床地质,2023,42(04):773-790.DOI:10.16111/j.0258-7106.2023.04.013.</t>
    <phoneticPr fontId="1" type="noConversion"/>
  </si>
  <si>
    <t>徐一帆,贺文彬,安芳等.西秦岭八卦庙金矿床原位S-Pb同位素组成对成矿物质来源和成矿过程的指示意义[J].矿床地质,2023,42(04):773-790.DOI:10.16111/j.0258-7106.2023.04.014.</t>
  </si>
  <si>
    <t>李蓓,朱赖民,丁乐乐等.西秦岭李坝金矿床地质、同位素地球化学及其成因探讨[J].地质学报,2021,95(02):427-448.DOI:10.19762/j.cnki.dizhixuebao.2020246.</t>
  </si>
  <si>
    <t>李蓓,朱赖民,丁乐乐等.西秦岭李坝金矿床地质、同位素地球化学及其成因探讨[J].地质学报,2021,95(02):427-448.DOI:10.19762/j.cnki.dizhixuebao.2020246.</t>
    <phoneticPr fontId="1" type="noConversion"/>
  </si>
  <si>
    <t>徐一帆,贺文彬,安芳等.西秦岭八卦庙金矿床原位S-Pb同位素组成对成矿物质来源和成矿过程的指示意义[J].矿床地质,2023,42(04):773-790.DOI:10.16111/j.0258-7106.2023.04.025.</t>
    <phoneticPr fontId="1" type="noConversion"/>
  </si>
  <si>
    <t>李蓓,朱赖民,丁乐乐等.西秦岭李坝金矿床地质、同位素地球化学及其成因探讨[J].地质学报,2021,95(02):427-448.DOI:10.19762/j.cnki.dizhixuebao.2020255.</t>
  </si>
  <si>
    <t>李蓓,朱赖民,丁乐乐等.西秦岭李坝金矿床地质、同位素地球化学及其成因探讨[J].地质学报,2021,95(02):427-448.DOI:10.19762/j.cnki.dizhixuebao.2020255.</t>
    <phoneticPr fontId="1" type="noConversion"/>
  </si>
  <si>
    <t>徐一帆,贺文彬,安芳等.西秦岭八卦庙金矿床原位S-Pb同位素组成对成矿物质来源和成矿过程的指示意义[J].矿床地质,2023,42(04):773-790.DOI:10.16111/j.0258-7106.2023.04.007.</t>
    <phoneticPr fontId="1" type="noConversion"/>
  </si>
  <si>
    <t>李康宁,张江苏,徐进等.西秦岭甘南加甘滩金矿床流体包裹体及氢-氧-硫-铅同位素特征[J].地质通报,2023,42(06):941-954.</t>
    <phoneticPr fontId="1" type="noConversion"/>
  </si>
  <si>
    <t>李蓓,朱赖民,丁乐乐等.西秦岭李坝金矿床地质、同位素地球化学及其成因探讨[J].地质学报,2021,95(02):427-448.DOI:10.19762/j.cnki.dizhixuebao.2020267.</t>
    <phoneticPr fontId="1" type="noConversion"/>
  </si>
  <si>
    <t>王雷. 小秦岭镰子沟金矿床地质地球化学特征与矿床成因探讨[D].中国地质大学(北京),2028.</t>
  </si>
  <si>
    <t>王雷. 小秦岭镰子沟金矿床地质地球化学特征与矿床成因探讨[D].中国地质大学(北京),2028.</t>
    <phoneticPr fontId="1" type="noConversion"/>
  </si>
  <si>
    <t>王雷. 小秦岭镰子沟金矿床地质地球化学特征与矿床成因探讨[D].中国地质大学(北京),2029.</t>
  </si>
  <si>
    <t>李蓓,朱赖民,丁乐乐等.西秦岭李坝金矿床地质、同位素地球化学及其成因探讨[J].地质学报,2021,95(02):427-448.DOI:10.19762/j.cnki.dizhixuebao.2020243.</t>
    <phoneticPr fontId="1" type="noConversion"/>
  </si>
  <si>
    <t>李蓓,朱赖民,丁乐乐等.西秦岭李坝金矿床地质、同位素地球化学及其成因探讨[J].地质学报,2021,95(02):427-448.DOI:10.19762/j.cnki.dizhixuebao.2020244.</t>
  </si>
  <si>
    <t>李蓓,朱赖民,丁乐乐等.西秦岭李坝金矿床地质、同位素地球化学及其成因探讨[J].地质学报,2021,95(02):427-448.DOI:10.19762/j.cnki.dizhixuebao.2020245.</t>
  </si>
  <si>
    <t>李蓓,朱赖民,丁乐乐等.西秦岭李坝金矿床地质、同位素地球化学及其成因探讨[J].地质学报,2021,95(02):427-448.DOI:10.19762/j.cnki.dizhixuebao.2020248.</t>
  </si>
  <si>
    <t>李康宁,张江苏,徐进等.西秦岭甘南加甘滩金矿床流体包裹体及氢-氧-硫-铅同位素特征[J].地质通报,2023,42(06):941-953.</t>
    <phoneticPr fontId="1" type="noConversion"/>
  </si>
  <si>
    <t>李蓓,朱赖民,丁乐乐等.西秦岭李坝金矿床地质、同位素地球化学及其成因探讨[J].地质学报,2021,95(02):427-448.DOI:10.19762/j.cnki.dizhixuebao.2020258.</t>
    <phoneticPr fontId="1" type="noConversion"/>
  </si>
  <si>
    <t>李蓓,朱赖民,丁乐乐等.西秦岭李坝金矿床地质、同位素地球化学及其成因探讨[J].地质学报,2021,95(02):427-448.DOI:10.19762/j.cnki.dizhixuebao.2020259.</t>
  </si>
  <si>
    <t>王雷. 小秦岭镰子沟金矿床地质地球化学特征与矿床成因探讨[D].中国地质大学(北京),2033.</t>
  </si>
  <si>
    <t>王雷. 小秦岭镰子沟金矿床地质地球化学特征与矿床成因探讨[D].中国地质大学(北京),2033.</t>
    <phoneticPr fontId="1" type="noConversion"/>
  </si>
  <si>
    <t>王雷. 小秦岭镰子沟金矿床地质地球化学特征与矿床成因探讨[D].中国地质大学(北京),2034.</t>
  </si>
  <si>
    <t>李蓓,朱赖民,丁乐乐等.西秦岭李坝金矿床地质、同位素地球化学及其成因探讨[J].地质学报,2021,95(02):427-448.DOI:10.19762/j.cnki.dizhixuebao.2020268.</t>
    <phoneticPr fontId="1" type="noConversion"/>
  </si>
  <si>
    <t>王雷. 小秦岭镰子沟金矿床地质地球化学特征与矿床成因探讨[D].中国地质大学(北京),2046.</t>
    <phoneticPr fontId="1" type="noConversion"/>
  </si>
  <si>
    <t>李蓓,朱赖民,丁乐乐等.西秦岭李坝金矿床地质、同位素地球化学及其成因探讨[J].地质学报,2021,95(02):427-448.DOI:10.19762/j.cnki.dizhixuebao.2020275.</t>
    <phoneticPr fontId="1" type="noConversion"/>
  </si>
  <si>
    <t>王雷. 小秦岭镰子沟金矿床地质地球化学特征与矿床成因探讨[D].中国地质大学(北京),2042.</t>
    <phoneticPr fontId="1" type="noConversion"/>
  </si>
  <si>
    <t>李蓓,朱赖民,丁乐乐等.西秦岭李坝金矿床地质、同位素地球化学及其成因探讨[J].地质学报,2021,95(02):427-448.DOI:10.19762/j.cnki.dizhixuebao.2020276.</t>
    <phoneticPr fontId="1" type="noConversion"/>
  </si>
  <si>
    <t>李蓓,朱赖民,丁乐乐等.西秦岭李坝金矿床地质、同位素地球化学及其成因探讨[J].地质学报,2021,95(02):427-448.DOI:10.19762/j.cnki.dizhixuebao.2020277.</t>
  </si>
  <si>
    <t>李蓓,朱赖民,丁乐乐等.西秦岭李坝金矿床地质、同位素地球化学及其成因探讨[J].地质学报,2021,95(02):427-448.DOI:10.19762/j.cnki.dizhixuebao.2020278.</t>
  </si>
  <si>
    <t>李蓓,朱赖民,丁乐乐等.西秦岭李坝金矿床地质、同位素地球化学及其成因探讨[J].地质学报,2021,95(02):427-448.DOI:10.19762/j.cnki.dizhixuebao.2020279.</t>
  </si>
  <si>
    <t>李蓓,朱赖民,丁乐乐等.西秦岭李坝金矿床地质、同位素地球化学及其成因探讨[J].地质学报,2021,95(02):427-448.DOI:10.19762/j.cnki.dizhixuebao.2020280.</t>
  </si>
  <si>
    <t>李蓓,朱赖民,丁乐乐等.西秦岭李坝金矿床地质、同位素地球化学及其成因探讨[J].地质学报,2021,95(02):427-448.DOI:10.19762/j.cnki.dizhixuebao.2020281.</t>
  </si>
  <si>
    <t>李蓓,朱赖民,丁乐乐等.西秦岭李坝金矿床地质、同位素地球化学及其成因探讨[J].地质学报,2021,95(02):427-448.DOI:10.19762/j.cnki.dizhixuebao.2020283.</t>
  </si>
  <si>
    <t>王雷. 小秦岭镰子沟金矿床地质地球化学特征与矿床成因探讨[D].中国地质大学(北京),2036.</t>
    <phoneticPr fontId="1" type="noConversion"/>
  </si>
  <si>
    <t>李蓓,朱赖民,丁乐乐等.西秦岭李坝金矿床地质、同位素地球化学及其成因探讨[J].地质学报,2021,95(02):427-448.DOI:10.19762/j.cnki.dizhixuebao.2020263.</t>
    <phoneticPr fontId="1" type="noConversion"/>
  </si>
  <si>
    <t>李蓓,朱赖民,丁乐乐等.西秦岭李坝金矿床地质、同位素地球化学及其成因探讨[J].地质学报,2021,95(02):427-448.DOI:10.19762/j.cnki.dizhixuebao.2020264.</t>
  </si>
  <si>
    <t>李蓓,朱赖民,丁乐乐等.西秦岭李坝金矿床地质、同位素地球化学及其成因探讨[J].地质学报,2021,95(02):427-448.DOI:10.19762/j.cnki.dizhixuebao.2020265.</t>
  </si>
  <si>
    <t>王雷. 小秦岭镰子沟金矿床地质地球化学特征与矿床成因探讨[D].中国地质大学(北京),2029.</t>
    <phoneticPr fontId="1" type="noConversion"/>
  </si>
  <si>
    <t>李蓓,朱赖民,丁乐乐等.西秦岭李坝金矿床地质、同位素地球化学及其成因探讨[J].地质学报,2021,95(02):427-448.DOI:10.19762/j.cnki.dizhixuebao.2020251.</t>
  </si>
  <si>
    <t>李蓓,朱赖民,丁乐乐等.西秦岭李坝金矿床地质、同位素地球化学及其成因探讨[J].地质学报,2021,95(02):427-448.DOI:10.19762/j.cnki.dizhixuebao.2020251.</t>
    <phoneticPr fontId="1" type="noConversion"/>
  </si>
  <si>
    <t>李蓓,朱赖民,丁乐乐等.西秦岭李坝金矿床地质、同位素地球化学及其成因探讨[J].地质学报,2021,95(02):427-448.DOI:10.19762/j.cnki.dizhixuebao.2020252.</t>
  </si>
  <si>
    <t>李蓓,朱赖民,丁乐乐等.西秦岭李坝金矿床地质、同位素地球化学及其成因探讨[J].地质学报,2021,95(02):427-448.DOI:10.19762/j.cnki.dizhixuebao.2020253.</t>
  </si>
  <si>
    <t>李蓓,朱赖民,丁乐乐等.西秦岭李坝金矿床地质、同位素地球化学及其成因探讨[J].地质学报,2021,95(02):427-448.DOI:10.19762/j.cnki.dizhixuebao.2020254.</t>
  </si>
  <si>
    <t>李蓓,朱赖民,丁乐乐等.西秦岭李坝金矿床地质、同位素地球化学及其成因探讨[J].地质学报,2021,95(02):427-448.DOI:10.19762/j.cnki.dizhixuebao.2020256.</t>
  </si>
  <si>
    <t>王雷. 小秦岭镰子沟金矿床地质地球化学特征与矿床成因探讨[D].中国地质大学(北京),2040.</t>
    <phoneticPr fontId="1" type="noConversion"/>
  </si>
  <si>
    <t>李蓓,朱赖民,丁乐乐等.西秦岭李坝金矿床地质、同位素地球化学及其成因探讨[J].地质学报,2021,95(02):427-448.DOI:10.19762/j.cnki.dizhixuebao.2020250.</t>
    <phoneticPr fontId="1" type="noConversion"/>
  </si>
  <si>
    <t>王雷. 小秦岭镰子沟金矿床地质地球化学特征与矿床成因探讨[D].中国地质大学(北京),2031.</t>
    <phoneticPr fontId="1" type="noConversion"/>
  </si>
  <si>
    <t>王雷. 小秦岭镰子沟金矿床地质地球化学特征与矿床成因探讨[D].中国地质大学(北京),2032.</t>
  </si>
  <si>
    <t>李蓓,朱赖民,丁乐乐等.西秦岭李坝金矿床地质、同位素地球化学及其成因探讨[J].地质学报,2021,95(02):427-448.DOI:10.19762/j.cnki.dizhixuebao.2020273.</t>
    <phoneticPr fontId="1" type="noConversion"/>
  </si>
  <si>
    <t>李铁刚,武广,陈公正等.华北克拉通南缘小秦岭矿集区灵湖金矿床成因:流体包裹体和H-O、S-Pb同位素证据[J].地球科学与环境学报,2020,42(05):569-583.DOI:10.19814/j.jese.2020.06031.</t>
    <phoneticPr fontId="1" type="noConversion"/>
  </si>
  <si>
    <t>李铁刚,武广,陈公正等.华北克拉通南缘小秦岭矿集区灵湖金矿床成因:流体包裹体和H-O、S-Pb同位素证据[J].地球科学与环境学报,2020,42(05):569-583.DOI:10.19814/j.jese.2020.06032.</t>
    <phoneticPr fontId="1" type="noConversion"/>
  </si>
  <si>
    <t>李铁刚,武广,陈公正等.华北克拉通南缘小秦岭矿集区灵湖金矿床成因:流体包裹体和H-O、S-Pb同位素证据[J].地球科学与环境学报,2020,42(05):569-583.DOI:10.19814/j.jese.2020.06035.</t>
    <phoneticPr fontId="1" type="noConversion"/>
  </si>
  <si>
    <t>李铁刚,武广,陈公正等.华北克拉通南缘小秦岭矿集区灵湖金矿床成因:流体包裹体和H-O、S-Pb同位素证据[J].地球科学与环境学报,2020,42(05):569-583.DOI:10.19814/j.jese.2020.06033.</t>
    <phoneticPr fontId="1" type="noConversion"/>
  </si>
  <si>
    <t>王雷. 小秦岭镰子沟金矿床地质地球化学特征与矿床成因探讨[D].中国地质大学(北京),2018.</t>
    <phoneticPr fontId="1" type="noConversion"/>
  </si>
  <si>
    <t>王雷. 小秦岭镰子沟金矿床地质地球化学特征与矿床成因探讨[D].中国地质大学(北京),2021.</t>
    <phoneticPr fontId="1" type="noConversion"/>
  </si>
  <si>
    <t>王雷. 小秦岭镰子沟金矿床地质地球化学特征与矿床成因探讨[D].中国地质大学(北京),2027.</t>
  </si>
  <si>
    <t>王雷. 小秦岭镰子沟金矿床地质地球化学特征与矿床成因探讨[D].中国地质大学(北京),2027.</t>
    <phoneticPr fontId="1" type="noConversion"/>
  </si>
  <si>
    <t>王雷. 小秦岭镰子沟金矿床地质地球化学特征与矿床成因探讨[D].中国地质大学(北京),2020.</t>
    <phoneticPr fontId="1" type="noConversion"/>
  </si>
  <si>
    <t>李铁刚,武广,陈公正等.华北克拉通南缘小秦岭矿集区灵湖金矿床成因:流体包裹体和H-O、S-Pb同位素证据[J].地球科学与环境学报,2020,42(05):569-583.DOI:10.19814/j.jese.2020.06034.</t>
    <phoneticPr fontId="1" type="noConversion"/>
  </si>
  <si>
    <t>王雷. 小秦岭镰子沟金矿床地质地球化学特征与矿床成因探讨[D].中国地质大学(北京),2025.</t>
    <phoneticPr fontId="1" type="noConversion"/>
  </si>
  <si>
    <t>王雷. 小秦岭镰子沟金矿床地质地球化学特征与矿床成因探讨[D].中国地质大学(北京),2024.</t>
    <phoneticPr fontId="1" type="noConversion"/>
  </si>
  <si>
    <t>王雷. 小秦岭镰子沟金矿床地质地球化学特征与矿床成因探讨[D].中国地质大学(北京),2026.</t>
    <phoneticPr fontId="1" type="noConversion"/>
  </si>
  <si>
    <t>李铁刚,武广,陈公正等.华北克拉通南缘小秦岭矿集区灵湖金矿床成因:流体包裹体和H-O、S-Pb同位素证据[J].地球科学与环境学报,2020,42(05):569-583.DOI:10.19814/j.jese.2020.06036.</t>
    <phoneticPr fontId="1" type="noConversion"/>
  </si>
  <si>
    <t>Region</t>
    <phoneticPr fontId="1" type="noConversion"/>
  </si>
  <si>
    <t>Mineral</t>
    <phoneticPr fontId="2" type="noConversion"/>
  </si>
  <si>
    <t>References</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</si>
</sst>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scheme val="minor"/>
    </font>
    <font>
      <sz val="9"/>
      <name val="等线"/>
      <family val="3"/>
      <charset val="134"/>
      <scheme val="minor"/>
    </font>
    <font>
      <sz val="9"/>
      <name val="等线"/>
      <family val="2"/>
      <charset val="134"/>
      <scheme val="minor"/>
    </font>
    <font>
      <sz val="11"/>
      <name val="等线"/>
      <family val="2"/>
      <scheme val="minor"/>
    </font>
    <font>
      <sz val="11"/>
      <name val="等线"/>
      <family val="3"/>
      <charset val="134"/>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vertical="center"/>
    </xf>
    <xf numFmtId="0" fontId="0" fillId="0" borderId="0" xfId="0" applyAlignment="1">
      <alignment horizontal="right" vertical="center"/>
    </xf>
    <xf numFmtId="0" fontId="3" fillId="0" borderId="0" xfId="0" applyFont="1"/>
    <xf numFmtId="0" fontId="4" fillId="0" borderId="0" xfId="0" applyFont="1" applyAlignment="1">
      <alignment vertical="center"/>
    </xf>
    <xf numFmtId="0" fontId="4" fillId="0" borderId="0" xfId="0" applyFont="1"/>
    <xf numFmtId="0" fontId="0" fillId="0" borderId="0" xfId="0" applyAlignment="1">
      <alignment vertical="center" wrapText="1"/>
    </xf>
    <xf numFmtId="0" fontId="0" fillId="2" borderId="0" xfId="0" applyFill="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98"/>
  <sheetViews>
    <sheetView tabSelected="1" workbookViewId="0">
      <selection activeCell="F24" sqref="F24"/>
    </sheetView>
  </sheetViews>
  <sheetFormatPr defaultRowHeight="13.9" x14ac:dyDescent="0.4"/>
  <cols>
    <col min="1" max="1" width="9.06640625" style="1"/>
    <col min="2" max="2" width="6.9296875" style="1" bestFit="1" customWidth="1"/>
    <col min="3" max="3" width="20.265625" style="1" bestFit="1" customWidth="1"/>
    <col min="4" max="4" width="17.3984375" style="1" bestFit="1" customWidth="1"/>
    <col min="5" max="5" width="24.1328125" style="1" bestFit="1" customWidth="1"/>
    <col min="6" max="8" width="15.33203125" style="1" bestFit="1" customWidth="1"/>
    <col min="9" max="9" width="14.73046875" style="1" bestFit="1" customWidth="1"/>
    <col min="10" max="10" width="15.33203125" style="1" bestFit="1" customWidth="1"/>
    <col min="11" max="11" width="159.3984375" style="1" bestFit="1" customWidth="1"/>
    <col min="12" max="16384" width="9.06640625" style="1"/>
  </cols>
  <sheetData>
    <row r="1" spans="1:11" x14ac:dyDescent="0.4">
      <c r="A1" s="1" t="s">
        <v>622</v>
      </c>
      <c r="B1" s="1" t="s">
        <v>0</v>
      </c>
      <c r="C1" s="1" t="s">
        <v>1</v>
      </c>
      <c r="D1" s="1" t="s">
        <v>2</v>
      </c>
      <c r="E1" s="1" t="s">
        <v>623</v>
      </c>
      <c r="F1" s="1" t="s">
        <v>3</v>
      </c>
      <c r="G1" s="1" t="s">
        <v>4</v>
      </c>
      <c r="H1" s="1" t="s">
        <v>5</v>
      </c>
      <c r="I1" s="1" t="s">
        <v>6</v>
      </c>
      <c r="J1" s="1" t="s">
        <v>7</v>
      </c>
      <c r="K1" s="1" t="s">
        <v>624</v>
      </c>
    </row>
    <row r="2" spans="1:11" x14ac:dyDescent="0.4">
      <c r="A2" t="s">
        <v>457</v>
      </c>
      <c r="B2" t="s">
        <v>8</v>
      </c>
      <c r="C2" t="s">
        <v>9</v>
      </c>
      <c r="D2" t="s">
        <v>10</v>
      </c>
      <c r="E2" t="s">
        <v>9</v>
      </c>
      <c r="F2">
        <v>37.237000000000002</v>
      </c>
      <c r="G2">
        <v>15.502000000000001</v>
      </c>
      <c r="H2">
        <v>16.747</v>
      </c>
      <c r="I2" s="2">
        <f t="shared" ref="I2:I65" si="0">F2/H2</f>
        <v>2.2235027169045205</v>
      </c>
      <c r="J2" s="2">
        <f t="shared" ref="J2:J65" si="1">G2/H2</f>
        <v>0.9256583268645131</v>
      </c>
      <c r="K2" t="s">
        <v>11</v>
      </c>
    </row>
    <row r="3" spans="1:11" x14ac:dyDescent="0.4">
      <c r="A3" t="s">
        <v>457</v>
      </c>
      <c r="B3" t="s">
        <v>8</v>
      </c>
      <c r="C3" t="s">
        <v>9</v>
      </c>
      <c r="D3" t="s">
        <v>12</v>
      </c>
      <c r="E3" t="s">
        <v>9</v>
      </c>
      <c r="F3">
        <v>36.951000000000001</v>
      </c>
      <c r="G3">
        <v>15.425000000000001</v>
      </c>
      <c r="H3">
        <v>16.706</v>
      </c>
      <c r="I3" s="2">
        <f t="shared" si="0"/>
        <v>2.2118400574643839</v>
      </c>
      <c r="J3" s="2">
        <f t="shared" si="1"/>
        <v>0.92332096252843299</v>
      </c>
      <c r="K3" t="s">
        <v>11</v>
      </c>
    </row>
    <row r="4" spans="1:11" x14ac:dyDescent="0.4">
      <c r="A4" t="s">
        <v>457</v>
      </c>
      <c r="B4" t="s">
        <v>8</v>
      </c>
      <c r="C4" t="s">
        <v>9</v>
      </c>
      <c r="D4" t="s">
        <v>13</v>
      </c>
      <c r="E4" t="s">
        <v>9</v>
      </c>
      <c r="F4">
        <v>37.887999999999998</v>
      </c>
      <c r="G4">
        <v>15.73</v>
      </c>
      <c r="H4">
        <v>17.145</v>
      </c>
      <c r="I4" s="2">
        <f t="shared" si="0"/>
        <v>2.2098571011956838</v>
      </c>
      <c r="J4" s="2">
        <f t="shared" si="1"/>
        <v>0.9174686497521144</v>
      </c>
      <c r="K4" t="s">
        <v>11</v>
      </c>
    </row>
    <row r="5" spans="1:11" x14ac:dyDescent="0.4">
      <c r="A5" t="s">
        <v>457</v>
      </c>
      <c r="B5" t="s">
        <v>8</v>
      </c>
      <c r="C5" t="s">
        <v>9</v>
      </c>
      <c r="D5" t="s">
        <v>14</v>
      </c>
      <c r="E5" t="s">
        <v>9</v>
      </c>
      <c r="F5">
        <v>37.89</v>
      </c>
      <c r="G5">
        <v>15.731</v>
      </c>
      <c r="H5">
        <v>17.152000000000001</v>
      </c>
      <c r="I5" s="2">
        <f t="shared" si="0"/>
        <v>2.2090718283582089</v>
      </c>
      <c r="J5" s="2">
        <f t="shared" si="1"/>
        <v>0.91715251865671632</v>
      </c>
      <c r="K5" t="s">
        <v>11</v>
      </c>
    </row>
    <row r="6" spans="1:11" x14ac:dyDescent="0.4">
      <c r="A6" t="s">
        <v>457</v>
      </c>
      <c r="B6" t="s">
        <v>8</v>
      </c>
      <c r="C6" t="s">
        <v>9</v>
      </c>
      <c r="D6" t="s">
        <v>15</v>
      </c>
      <c r="E6" t="s">
        <v>9</v>
      </c>
      <c r="F6">
        <v>37.656999999999996</v>
      </c>
      <c r="G6">
        <v>15.66</v>
      </c>
      <c r="H6">
        <v>17.097000000000001</v>
      </c>
      <c r="I6" s="2">
        <f t="shared" si="0"/>
        <v>2.2025501549979527</v>
      </c>
      <c r="J6" s="2">
        <f t="shared" si="1"/>
        <v>0.91595016669591145</v>
      </c>
      <c r="K6" t="s">
        <v>11</v>
      </c>
    </row>
    <row r="7" spans="1:11" x14ac:dyDescent="0.4">
      <c r="A7" t="s">
        <v>457</v>
      </c>
      <c r="B7" t="s">
        <v>8</v>
      </c>
      <c r="C7" t="s">
        <v>16</v>
      </c>
      <c r="D7" t="s">
        <v>17</v>
      </c>
      <c r="E7" t="s">
        <v>16</v>
      </c>
      <c r="F7">
        <v>36.872</v>
      </c>
      <c r="G7">
        <v>15.422000000000001</v>
      </c>
      <c r="H7">
        <v>16.847999999999999</v>
      </c>
      <c r="I7" s="2">
        <f t="shared" si="0"/>
        <v>2.1885090218423553</v>
      </c>
      <c r="J7" s="2">
        <f t="shared" si="1"/>
        <v>0.91536087369420716</v>
      </c>
      <c r="K7" t="s">
        <v>11</v>
      </c>
    </row>
    <row r="8" spans="1:11" x14ac:dyDescent="0.4">
      <c r="A8" t="s">
        <v>457</v>
      </c>
      <c r="B8" t="s">
        <v>8</v>
      </c>
      <c r="C8" t="s">
        <v>9</v>
      </c>
      <c r="D8" t="s">
        <v>18</v>
      </c>
      <c r="E8" t="s">
        <v>9</v>
      </c>
      <c r="F8">
        <v>37.17</v>
      </c>
      <c r="G8">
        <v>15.512</v>
      </c>
      <c r="H8">
        <v>16.956</v>
      </c>
      <c r="I8" s="2">
        <f t="shared" si="0"/>
        <v>2.1921443736730364</v>
      </c>
      <c r="J8" s="2">
        <f t="shared" si="1"/>
        <v>0.91483840528426519</v>
      </c>
      <c r="K8" t="s">
        <v>11</v>
      </c>
    </row>
    <row r="9" spans="1:11" x14ac:dyDescent="0.4">
      <c r="A9" t="s">
        <v>457</v>
      </c>
      <c r="B9" t="s">
        <v>8</v>
      </c>
      <c r="C9" t="s">
        <v>9</v>
      </c>
      <c r="D9" t="s">
        <v>19</v>
      </c>
      <c r="E9" t="s">
        <v>9</v>
      </c>
      <c r="F9">
        <v>37.701000000000001</v>
      </c>
      <c r="G9">
        <v>15.670999999999999</v>
      </c>
      <c r="H9">
        <v>17.13</v>
      </c>
      <c r="I9" s="2">
        <f t="shared" si="0"/>
        <v>2.2008756567425571</v>
      </c>
      <c r="J9" s="2">
        <f t="shared" si="1"/>
        <v>0.91482778750729721</v>
      </c>
      <c r="K9" t="s">
        <v>11</v>
      </c>
    </row>
    <row r="10" spans="1:11" x14ac:dyDescent="0.4">
      <c r="A10" t="s">
        <v>457</v>
      </c>
      <c r="B10" t="s">
        <v>8</v>
      </c>
      <c r="C10" t="s">
        <v>9</v>
      </c>
      <c r="D10" t="s">
        <v>20</v>
      </c>
      <c r="E10" t="s">
        <v>9</v>
      </c>
      <c r="F10">
        <v>37.433</v>
      </c>
      <c r="G10">
        <v>15.587999999999999</v>
      </c>
      <c r="H10">
        <v>17.047000000000001</v>
      </c>
      <c r="I10" s="2">
        <f t="shared" si="0"/>
        <v>2.1958702410981403</v>
      </c>
      <c r="J10" s="2">
        <f t="shared" si="1"/>
        <v>0.914413093212882</v>
      </c>
      <c r="K10" t="s">
        <v>11</v>
      </c>
    </row>
    <row r="11" spans="1:11" x14ac:dyDescent="0.4">
      <c r="A11" t="s">
        <v>457</v>
      </c>
      <c r="B11" t="s">
        <v>8</v>
      </c>
      <c r="C11" t="s">
        <v>16</v>
      </c>
      <c r="D11" t="s">
        <v>21</v>
      </c>
      <c r="E11" t="s">
        <v>16</v>
      </c>
      <c r="F11">
        <v>36.746000000000002</v>
      </c>
      <c r="G11">
        <v>15.382</v>
      </c>
      <c r="H11">
        <v>16.821999999999999</v>
      </c>
      <c r="I11" s="2">
        <f t="shared" si="0"/>
        <v>2.1844013791463563</v>
      </c>
      <c r="J11" s="2">
        <f t="shared" si="1"/>
        <v>0.91439781238853879</v>
      </c>
      <c r="K11" t="s">
        <v>11</v>
      </c>
    </row>
    <row r="12" spans="1:11" x14ac:dyDescent="0.4">
      <c r="A12" t="s">
        <v>457</v>
      </c>
      <c r="B12" t="s">
        <v>8</v>
      </c>
      <c r="C12" t="s">
        <v>9</v>
      </c>
      <c r="D12" t="s">
        <v>22</v>
      </c>
      <c r="E12" t="s">
        <v>9</v>
      </c>
      <c r="F12">
        <v>37.201999999999998</v>
      </c>
      <c r="G12">
        <v>15.54</v>
      </c>
      <c r="H12">
        <v>17.013000000000002</v>
      </c>
      <c r="I12" s="2">
        <f t="shared" si="0"/>
        <v>2.1866807735261267</v>
      </c>
      <c r="J12" s="2">
        <f t="shared" si="1"/>
        <v>0.91341915006171737</v>
      </c>
      <c r="K12" t="s">
        <v>11</v>
      </c>
    </row>
    <row r="13" spans="1:11" x14ac:dyDescent="0.4">
      <c r="A13" t="s">
        <v>457</v>
      </c>
      <c r="B13" t="s">
        <v>8</v>
      </c>
      <c r="C13" t="s">
        <v>16</v>
      </c>
      <c r="D13" t="s">
        <v>23</v>
      </c>
      <c r="E13" t="s">
        <v>16</v>
      </c>
      <c r="F13">
        <v>36.753</v>
      </c>
      <c r="G13">
        <v>15.378</v>
      </c>
      <c r="H13">
        <v>16.838000000000001</v>
      </c>
      <c r="I13" s="2">
        <f t="shared" si="0"/>
        <v>2.182741418220691</v>
      </c>
      <c r="J13" s="2">
        <f t="shared" si="1"/>
        <v>0.91329136477016271</v>
      </c>
      <c r="K13" t="s">
        <v>11</v>
      </c>
    </row>
    <row r="14" spans="1:11" x14ac:dyDescent="0.4">
      <c r="A14" t="s">
        <v>457</v>
      </c>
      <c r="B14" t="s">
        <v>8</v>
      </c>
      <c r="C14" t="s">
        <v>9</v>
      </c>
      <c r="D14" t="s">
        <v>24</v>
      </c>
      <c r="E14" t="s">
        <v>9</v>
      </c>
      <c r="F14">
        <v>37.076000000000001</v>
      </c>
      <c r="G14">
        <v>15.465</v>
      </c>
      <c r="H14">
        <v>16.966000000000001</v>
      </c>
      <c r="I14" s="2">
        <f t="shared" si="0"/>
        <v>2.1853118000707297</v>
      </c>
      <c r="J14" s="2">
        <f t="shared" si="1"/>
        <v>0.91152894023340791</v>
      </c>
      <c r="K14" t="s">
        <v>11</v>
      </c>
    </row>
    <row r="15" spans="1:11" x14ac:dyDescent="0.4">
      <c r="A15" t="s">
        <v>457</v>
      </c>
      <c r="B15" t="s">
        <v>8</v>
      </c>
      <c r="C15" t="s">
        <v>9</v>
      </c>
      <c r="D15" t="s">
        <v>25</v>
      </c>
      <c r="E15" t="s">
        <v>9</v>
      </c>
      <c r="F15">
        <v>37.067</v>
      </c>
      <c r="G15">
        <v>15.425000000000001</v>
      </c>
      <c r="H15">
        <v>16.928000000000001</v>
      </c>
      <c r="I15" s="2">
        <f t="shared" si="0"/>
        <v>2.1896857277882797</v>
      </c>
      <c r="J15" s="2">
        <f t="shared" si="1"/>
        <v>0.91121219281663512</v>
      </c>
      <c r="K15" t="s">
        <v>11</v>
      </c>
    </row>
    <row r="16" spans="1:11" x14ac:dyDescent="0.4">
      <c r="A16" t="s">
        <v>457</v>
      </c>
      <c r="B16" t="s">
        <v>8</v>
      </c>
      <c r="D16" t="s">
        <v>26</v>
      </c>
      <c r="F16">
        <v>37.378999999999998</v>
      </c>
      <c r="G16">
        <v>15.382</v>
      </c>
      <c r="H16">
        <v>17.413</v>
      </c>
      <c r="I16" s="2">
        <f t="shared" si="0"/>
        <v>2.1466145982886347</v>
      </c>
      <c r="J16" s="2">
        <f t="shared" si="1"/>
        <v>0.88336300465169693</v>
      </c>
      <c r="K16" t="s">
        <v>27</v>
      </c>
    </row>
    <row r="17" spans="1:27" x14ac:dyDescent="0.4">
      <c r="A17" t="s">
        <v>457</v>
      </c>
      <c r="B17" t="s">
        <v>8</v>
      </c>
      <c r="D17" t="s">
        <v>28</v>
      </c>
      <c r="F17">
        <v>37.552999999999997</v>
      </c>
      <c r="G17">
        <v>15.43</v>
      </c>
      <c r="H17">
        <v>17.507999999999999</v>
      </c>
      <c r="I17" s="2">
        <f t="shared" si="0"/>
        <v>2.1449051862005941</v>
      </c>
      <c r="J17" s="2">
        <f t="shared" si="1"/>
        <v>0.88131140050262735</v>
      </c>
      <c r="K17" t="s">
        <v>27</v>
      </c>
    </row>
    <row r="18" spans="1:27" x14ac:dyDescent="0.4">
      <c r="A18" t="s">
        <v>457</v>
      </c>
      <c r="B18" t="s">
        <v>8</v>
      </c>
      <c r="D18" t="s">
        <v>29</v>
      </c>
      <c r="F18">
        <v>37.654000000000003</v>
      </c>
      <c r="G18">
        <v>15.41</v>
      </c>
      <c r="H18">
        <v>17.495999999999999</v>
      </c>
      <c r="I18" s="2">
        <f t="shared" si="0"/>
        <v>2.1521490626428901</v>
      </c>
      <c r="J18" s="2">
        <f t="shared" si="1"/>
        <v>0.8807727480566987</v>
      </c>
      <c r="K18" t="s">
        <v>27</v>
      </c>
      <c r="L18"/>
      <c r="M18"/>
      <c r="N18"/>
      <c r="O18"/>
      <c r="P18"/>
      <c r="Q18"/>
      <c r="R18"/>
      <c r="S18"/>
      <c r="T18"/>
      <c r="U18"/>
      <c r="V18"/>
      <c r="W18"/>
      <c r="X18"/>
      <c r="Y18"/>
      <c r="Z18"/>
      <c r="AA18"/>
    </row>
    <row r="19" spans="1:27" x14ac:dyDescent="0.4">
      <c r="A19" t="s">
        <v>457</v>
      </c>
      <c r="B19" t="s">
        <v>8</v>
      </c>
      <c r="C19" t="s">
        <v>30</v>
      </c>
      <c r="D19" t="s">
        <v>22</v>
      </c>
      <c r="E19" t="s">
        <v>30</v>
      </c>
      <c r="F19">
        <v>37.692</v>
      </c>
      <c r="G19">
        <v>15.444000000000001</v>
      </c>
      <c r="H19">
        <v>17.568000000000001</v>
      </c>
      <c r="I19" s="2">
        <f t="shared" si="0"/>
        <v>2.1454918032786883</v>
      </c>
      <c r="J19" s="2">
        <f t="shared" si="1"/>
        <v>0.87909836065573765</v>
      </c>
      <c r="K19" t="s">
        <v>31</v>
      </c>
    </row>
    <row r="20" spans="1:27" x14ac:dyDescent="0.4">
      <c r="A20" t="s">
        <v>457</v>
      </c>
      <c r="B20" t="s">
        <v>8</v>
      </c>
      <c r="D20" t="s">
        <v>32</v>
      </c>
      <c r="F20">
        <v>38.020000000000003</v>
      </c>
      <c r="G20">
        <v>15.54</v>
      </c>
      <c r="H20">
        <v>17.72</v>
      </c>
      <c r="I20" s="2">
        <f t="shared" si="0"/>
        <v>2.1455981941309257</v>
      </c>
      <c r="J20" s="2">
        <f t="shared" si="1"/>
        <v>0.87697516930022579</v>
      </c>
      <c r="K20" t="s">
        <v>33</v>
      </c>
    </row>
    <row r="21" spans="1:27" x14ac:dyDescent="0.4">
      <c r="A21" t="s">
        <v>457</v>
      </c>
      <c r="B21" t="s">
        <v>8</v>
      </c>
      <c r="D21" t="s">
        <v>34</v>
      </c>
      <c r="F21">
        <v>38.31</v>
      </c>
      <c r="G21">
        <v>15.48</v>
      </c>
      <c r="H21">
        <v>17.670000000000002</v>
      </c>
      <c r="I21" s="2">
        <f t="shared" si="0"/>
        <v>2.1680814940577249</v>
      </c>
      <c r="J21" s="2">
        <f t="shared" si="1"/>
        <v>0.87606112054329366</v>
      </c>
      <c r="K21" t="s">
        <v>33</v>
      </c>
    </row>
    <row r="22" spans="1:27" x14ac:dyDescent="0.4">
      <c r="A22" t="s">
        <v>457</v>
      </c>
      <c r="B22" t="s">
        <v>8</v>
      </c>
      <c r="C22" t="s">
        <v>35</v>
      </c>
      <c r="D22" t="s">
        <v>15</v>
      </c>
      <c r="E22" t="s">
        <v>35</v>
      </c>
      <c r="F22">
        <v>37.731999999999999</v>
      </c>
      <c r="G22">
        <v>15.462999999999999</v>
      </c>
      <c r="H22">
        <v>17.654</v>
      </c>
      <c r="I22" s="2">
        <f t="shared" si="0"/>
        <v>2.137305992976096</v>
      </c>
      <c r="J22" s="2">
        <f t="shared" si="1"/>
        <v>0.87589214908802537</v>
      </c>
      <c r="K22" t="s">
        <v>31</v>
      </c>
    </row>
    <row r="23" spans="1:27" x14ac:dyDescent="0.4">
      <c r="A23" t="s">
        <v>457</v>
      </c>
      <c r="B23" t="s">
        <v>8</v>
      </c>
      <c r="C23" t="s">
        <v>35</v>
      </c>
      <c r="D23" t="s">
        <v>19</v>
      </c>
      <c r="E23" t="s">
        <v>35</v>
      </c>
      <c r="F23">
        <v>37.905999999999999</v>
      </c>
      <c r="G23">
        <v>15.526999999999999</v>
      </c>
      <c r="H23">
        <v>17.728000000000002</v>
      </c>
      <c r="I23" s="2">
        <f t="shared" si="0"/>
        <v>2.1381994584837543</v>
      </c>
      <c r="J23" s="2">
        <f t="shared" si="1"/>
        <v>0.87584611913357391</v>
      </c>
      <c r="K23" t="s">
        <v>31</v>
      </c>
    </row>
    <row r="24" spans="1:27" x14ac:dyDescent="0.4">
      <c r="A24" t="s">
        <v>457</v>
      </c>
      <c r="B24" t="s">
        <v>8</v>
      </c>
      <c r="D24" t="s">
        <v>36</v>
      </c>
      <c r="F24">
        <v>38.027999999999999</v>
      </c>
      <c r="G24">
        <v>15.553000000000001</v>
      </c>
      <c r="H24">
        <v>17.768000000000001</v>
      </c>
      <c r="I24" s="2">
        <f t="shared" si="0"/>
        <v>2.1402521386762716</v>
      </c>
      <c r="J24" s="2">
        <f t="shared" si="1"/>
        <v>0.87533768572714998</v>
      </c>
      <c r="K24" t="s">
        <v>27</v>
      </c>
    </row>
    <row r="25" spans="1:27" x14ac:dyDescent="0.4">
      <c r="A25" t="s">
        <v>457</v>
      </c>
      <c r="B25" t="s">
        <v>8</v>
      </c>
      <c r="C25" t="s">
        <v>35</v>
      </c>
      <c r="D25" t="s">
        <v>37</v>
      </c>
      <c r="E25" t="s">
        <v>35</v>
      </c>
      <c r="F25">
        <v>37.636000000000003</v>
      </c>
      <c r="G25">
        <v>15.432</v>
      </c>
      <c r="H25">
        <v>17.63</v>
      </c>
      <c r="I25" s="2">
        <f t="shared" si="0"/>
        <v>2.1347702779353379</v>
      </c>
      <c r="J25" s="2">
        <f t="shared" si="1"/>
        <v>0.87532614861032343</v>
      </c>
      <c r="K25" t="s">
        <v>31</v>
      </c>
      <c r="L25"/>
      <c r="M25"/>
      <c r="N25"/>
      <c r="O25"/>
      <c r="P25"/>
      <c r="Q25"/>
      <c r="R25"/>
      <c r="S25"/>
      <c r="T25"/>
      <c r="U25"/>
      <c r="V25"/>
      <c r="W25"/>
      <c r="X25"/>
      <c r="Y25"/>
      <c r="Z25"/>
      <c r="AA25"/>
    </row>
    <row r="26" spans="1:27" ht="14" customHeight="1" x14ac:dyDescent="0.4">
      <c r="A26" t="s">
        <v>457</v>
      </c>
      <c r="B26" t="s">
        <v>8</v>
      </c>
      <c r="D26" t="s">
        <v>38</v>
      </c>
      <c r="F26">
        <v>37.89</v>
      </c>
      <c r="G26">
        <v>15.473000000000001</v>
      </c>
      <c r="H26">
        <v>17.681999999999999</v>
      </c>
      <c r="I26" s="2">
        <f t="shared" si="0"/>
        <v>2.1428571428571432</v>
      </c>
      <c r="J26" s="2">
        <f t="shared" si="1"/>
        <v>0.87507069336047971</v>
      </c>
      <c r="K26" t="s">
        <v>27</v>
      </c>
    </row>
    <row r="27" spans="1:27" x14ac:dyDescent="0.4">
      <c r="A27" t="s">
        <v>457</v>
      </c>
      <c r="B27" t="s">
        <v>8</v>
      </c>
      <c r="D27" t="s">
        <v>39</v>
      </c>
      <c r="F27">
        <v>37.707999999999998</v>
      </c>
      <c r="G27">
        <v>15.456</v>
      </c>
      <c r="H27">
        <v>17.677</v>
      </c>
      <c r="I27" s="2">
        <f t="shared" si="0"/>
        <v>2.1331673926571249</v>
      </c>
      <c r="J27" s="2">
        <f t="shared" si="1"/>
        <v>0.87435650845731738</v>
      </c>
      <c r="K27" t="s">
        <v>27</v>
      </c>
    </row>
    <row r="28" spans="1:27" x14ac:dyDescent="0.4">
      <c r="A28" t="s">
        <v>457</v>
      </c>
      <c r="B28" t="s">
        <v>8</v>
      </c>
      <c r="D28" t="s">
        <v>40</v>
      </c>
      <c r="F28">
        <v>37.776000000000003</v>
      </c>
      <c r="G28">
        <v>15.484</v>
      </c>
      <c r="H28">
        <v>17.734000000000002</v>
      </c>
      <c r="I28" s="2">
        <f t="shared" si="0"/>
        <v>2.1301454832525093</v>
      </c>
      <c r="J28" s="2">
        <f t="shared" si="1"/>
        <v>0.87312507048607191</v>
      </c>
      <c r="K28" t="s">
        <v>27</v>
      </c>
    </row>
    <row r="29" spans="1:27" x14ac:dyDescent="0.4">
      <c r="A29" t="s">
        <v>457</v>
      </c>
      <c r="B29" t="s">
        <v>8</v>
      </c>
      <c r="C29" t="s">
        <v>41</v>
      </c>
      <c r="D29" t="s">
        <v>12</v>
      </c>
      <c r="E29" t="s">
        <v>41</v>
      </c>
      <c r="F29">
        <v>38.39</v>
      </c>
      <c r="G29">
        <v>15.693</v>
      </c>
      <c r="H29">
        <v>17.983000000000001</v>
      </c>
      <c r="I29" s="2">
        <f t="shared" si="0"/>
        <v>2.1347939720847466</v>
      </c>
      <c r="J29" s="2">
        <f t="shared" si="1"/>
        <v>0.87265750987043311</v>
      </c>
      <c r="K29" t="s">
        <v>31</v>
      </c>
    </row>
    <row r="30" spans="1:27" ht="14" customHeight="1" x14ac:dyDescent="0.4">
      <c r="A30" t="s">
        <v>457</v>
      </c>
      <c r="B30" t="s">
        <v>8</v>
      </c>
      <c r="D30" t="s">
        <v>42</v>
      </c>
      <c r="F30">
        <v>37.593000000000004</v>
      </c>
      <c r="G30">
        <v>15.471</v>
      </c>
      <c r="H30">
        <v>17.731000000000002</v>
      </c>
      <c r="I30" s="2">
        <f t="shared" si="0"/>
        <v>2.1201849867463762</v>
      </c>
      <c r="J30" s="2">
        <f t="shared" si="1"/>
        <v>0.87253961987479545</v>
      </c>
      <c r="K30" t="s">
        <v>27</v>
      </c>
    </row>
    <row r="31" spans="1:27" x14ac:dyDescent="0.4">
      <c r="A31" t="s">
        <v>457</v>
      </c>
      <c r="B31" t="s">
        <v>8</v>
      </c>
      <c r="D31" t="s">
        <v>43</v>
      </c>
      <c r="F31">
        <v>37.710999999999999</v>
      </c>
      <c r="G31">
        <v>15.433</v>
      </c>
      <c r="H31">
        <v>17.695</v>
      </c>
      <c r="I31" s="2">
        <f t="shared" si="0"/>
        <v>2.131166996326646</v>
      </c>
      <c r="J31" s="2">
        <f t="shared" si="1"/>
        <v>0.87216727889234247</v>
      </c>
      <c r="K31" t="s">
        <v>27</v>
      </c>
    </row>
    <row r="32" spans="1:27" x14ac:dyDescent="0.4">
      <c r="A32" t="s">
        <v>457</v>
      </c>
      <c r="B32" t="s">
        <v>8</v>
      </c>
      <c r="C32" t="s">
        <v>35</v>
      </c>
      <c r="D32" t="s">
        <v>20</v>
      </c>
      <c r="E32" t="s">
        <v>35</v>
      </c>
      <c r="F32">
        <v>37.981999999999999</v>
      </c>
      <c r="G32">
        <v>15.57</v>
      </c>
      <c r="H32">
        <v>17.870999999999999</v>
      </c>
      <c r="I32" s="2">
        <f t="shared" si="0"/>
        <v>2.1253427340383864</v>
      </c>
      <c r="J32" s="2">
        <f t="shared" si="1"/>
        <v>0.87124391472217566</v>
      </c>
      <c r="K32" t="s">
        <v>31</v>
      </c>
    </row>
    <row r="33" spans="1:11" x14ac:dyDescent="0.4">
      <c r="A33" t="s">
        <v>457</v>
      </c>
      <c r="B33" t="s">
        <v>8</v>
      </c>
      <c r="D33" t="s">
        <v>44</v>
      </c>
      <c r="F33">
        <v>38.159999999999997</v>
      </c>
      <c r="G33">
        <v>15.544</v>
      </c>
      <c r="H33">
        <v>17.86</v>
      </c>
      <c r="I33" s="2">
        <f t="shared" si="0"/>
        <v>2.1366181410974243</v>
      </c>
      <c r="J33" s="2">
        <f t="shared" si="1"/>
        <v>0.87032474804031357</v>
      </c>
      <c r="K33" t="s">
        <v>27</v>
      </c>
    </row>
    <row r="34" spans="1:11" ht="14" customHeight="1" x14ac:dyDescent="0.4">
      <c r="A34" t="s">
        <v>457</v>
      </c>
      <c r="B34" t="s">
        <v>8</v>
      </c>
      <c r="C34" t="s">
        <v>35</v>
      </c>
      <c r="D34" t="s">
        <v>13</v>
      </c>
      <c r="E34" t="s">
        <v>35</v>
      </c>
      <c r="F34">
        <v>37.808</v>
      </c>
      <c r="G34">
        <v>15.507</v>
      </c>
      <c r="H34">
        <v>17.818000000000001</v>
      </c>
      <c r="I34" s="2">
        <f t="shared" si="0"/>
        <v>2.1218992030530921</v>
      </c>
      <c r="J34" s="2">
        <f t="shared" si="1"/>
        <v>0.87029969693568288</v>
      </c>
      <c r="K34" t="s">
        <v>31</v>
      </c>
    </row>
    <row r="35" spans="1:11" x14ac:dyDescent="0.4">
      <c r="A35" t="s">
        <v>457</v>
      </c>
      <c r="B35" t="s">
        <v>8</v>
      </c>
      <c r="D35" t="s">
        <v>45</v>
      </c>
      <c r="F35">
        <v>38.78</v>
      </c>
      <c r="G35">
        <v>15.69</v>
      </c>
      <c r="H35">
        <v>18.05</v>
      </c>
      <c r="I35" s="2">
        <f t="shared" si="0"/>
        <v>2.148476454293629</v>
      </c>
      <c r="J35" s="2">
        <f t="shared" si="1"/>
        <v>0.86925207756232681</v>
      </c>
      <c r="K35" t="s">
        <v>46</v>
      </c>
    </row>
    <row r="36" spans="1:11" x14ac:dyDescent="0.4">
      <c r="A36" t="s">
        <v>457</v>
      </c>
      <c r="B36" t="s">
        <v>8</v>
      </c>
      <c r="D36" t="s">
        <v>47</v>
      </c>
      <c r="F36">
        <v>38.935000000000002</v>
      </c>
      <c r="G36">
        <v>15.851000000000001</v>
      </c>
      <c r="H36">
        <v>18.236000000000001</v>
      </c>
      <c r="I36" s="2">
        <f t="shared" si="0"/>
        <v>2.1350625137091468</v>
      </c>
      <c r="J36" s="2">
        <f t="shared" si="1"/>
        <v>0.86921474007457777</v>
      </c>
      <c r="K36" t="s">
        <v>46</v>
      </c>
    </row>
    <row r="37" spans="1:11" x14ac:dyDescent="0.4">
      <c r="A37" t="s">
        <v>457</v>
      </c>
      <c r="B37" t="s">
        <v>8</v>
      </c>
      <c r="D37" t="s">
        <v>48</v>
      </c>
      <c r="F37">
        <v>38.840000000000003</v>
      </c>
      <c r="G37">
        <v>15.66</v>
      </c>
      <c r="H37">
        <v>18.03</v>
      </c>
      <c r="I37" s="2">
        <f t="shared" si="0"/>
        <v>2.1541874653355517</v>
      </c>
      <c r="J37" s="2">
        <f t="shared" si="1"/>
        <v>0.86855241264559069</v>
      </c>
      <c r="K37" t="s">
        <v>46</v>
      </c>
    </row>
    <row r="38" spans="1:11" x14ac:dyDescent="0.4">
      <c r="A38" t="s">
        <v>457</v>
      </c>
      <c r="B38" t="s">
        <v>8</v>
      </c>
      <c r="D38" t="s">
        <v>49</v>
      </c>
      <c r="F38">
        <v>38.75</v>
      </c>
      <c r="G38">
        <v>15.7</v>
      </c>
      <c r="H38">
        <v>18.079999999999998</v>
      </c>
      <c r="I38" s="2">
        <f t="shared" si="0"/>
        <v>2.1432522123893807</v>
      </c>
      <c r="J38" s="2">
        <f t="shared" si="1"/>
        <v>0.86836283185840712</v>
      </c>
      <c r="K38" t="s">
        <v>46</v>
      </c>
    </row>
    <row r="39" spans="1:11" x14ac:dyDescent="0.4">
      <c r="A39" t="s">
        <v>457</v>
      </c>
      <c r="B39" t="s">
        <v>8</v>
      </c>
      <c r="C39" t="s">
        <v>50</v>
      </c>
      <c r="D39" t="s">
        <v>51</v>
      </c>
      <c r="E39" t="s">
        <v>50</v>
      </c>
      <c r="F39">
        <v>38.481999999999999</v>
      </c>
      <c r="G39">
        <v>15.792</v>
      </c>
      <c r="H39">
        <v>18.190999999999999</v>
      </c>
      <c r="I39" s="2">
        <f t="shared" si="0"/>
        <v>2.1154417019405201</v>
      </c>
      <c r="J39" s="2">
        <f t="shared" si="1"/>
        <v>0.86812159859271076</v>
      </c>
      <c r="K39" t="s">
        <v>52</v>
      </c>
    </row>
    <row r="40" spans="1:11" x14ac:dyDescent="0.4">
      <c r="A40" t="s">
        <v>457</v>
      </c>
      <c r="B40" t="s">
        <v>8</v>
      </c>
      <c r="C40" t="s">
        <v>50</v>
      </c>
      <c r="D40" t="s">
        <v>53</v>
      </c>
      <c r="E40" t="s">
        <v>50</v>
      </c>
      <c r="F40">
        <v>38.554000000000002</v>
      </c>
      <c r="G40">
        <v>15.74</v>
      </c>
      <c r="H40">
        <v>18.140999999999998</v>
      </c>
      <c r="I40" s="2">
        <f t="shared" si="0"/>
        <v>2.1252411664186099</v>
      </c>
      <c r="J40" s="2">
        <f t="shared" si="1"/>
        <v>0.86764786946695338</v>
      </c>
      <c r="K40" t="s">
        <v>52</v>
      </c>
    </row>
    <row r="41" spans="1:11" x14ac:dyDescent="0.4">
      <c r="A41" t="s">
        <v>457</v>
      </c>
      <c r="B41" t="s">
        <v>8</v>
      </c>
      <c r="D41" t="s">
        <v>54</v>
      </c>
      <c r="F41">
        <v>38.518999999999998</v>
      </c>
      <c r="G41">
        <v>15.66</v>
      </c>
      <c r="H41">
        <v>18.05</v>
      </c>
      <c r="I41" s="2">
        <f t="shared" si="0"/>
        <v>2.1340166204986146</v>
      </c>
      <c r="J41" s="2">
        <f t="shared" si="1"/>
        <v>0.86759002770083105</v>
      </c>
      <c r="K41" t="s">
        <v>55</v>
      </c>
    </row>
    <row r="42" spans="1:11" x14ac:dyDescent="0.4">
      <c r="A42" t="s">
        <v>457</v>
      </c>
      <c r="B42" t="s">
        <v>8</v>
      </c>
      <c r="C42" t="s">
        <v>35</v>
      </c>
      <c r="D42" t="s">
        <v>25</v>
      </c>
      <c r="E42" t="s">
        <v>35</v>
      </c>
      <c r="F42">
        <v>38.018999999999998</v>
      </c>
      <c r="G42">
        <v>15.593999999999999</v>
      </c>
      <c r="H42">
        <v>17.974</v>
      </c>
      <c r="I42" s="2">
        <f t="shared" si="0"/>
        <v>2.1152219873150107</v>
      </c>
      <c r="J42" s="2">
        <f t="shared" si="1"/>
        <v>0.86758651385334362</v>
      </c>
      <c r="K42" t="s">
        <v>31</v>
      </c>
    </row>
    <row r="43" spans="1:11" x14ac:dyDescent="0.4">
      <c r="A43" t="s">
        <v>457</v>
      </c>
      <c r="B43" t="s">
        <v>8</v>
      </c>
      <c r="C43" t="s">
        <v>35</v>
      </c>
      <c r="D43" t="s">
        <v>14</v>
      </c>
      <c r="E43" t="s">
        <v>35</v>
      </c>
      <c r="F43">
        <v>38.005000000000003</v>
      </c>
      <c r="G43">
        <v>15.577999999999999</v>
      </c>
      <c r="H43">
        <v>17.957000000000001</v>
      </c>
      <c r="I43" s="2">
        <f t="shared" si="0"/>
        <v>2.1164448404521914</v>
      </c>
      <c r="J43" s="2">
        <f t="shared" si="1"/>
        <v>0.86751684579829591</v>
      </c>
      <c r="K43" t="s">
        <v>31</v>
      </c>
    </row>
    <row r="44" spans="1:11" x14ac:dyDescent="0.4">
      <c r="A44" t="s">
        <v>457</v>
      </c>
      <c r="B44" t="s">
        <v>8</v>
      </c>
      <c r="D44" t="s">
        <v>56</v>
      </c>
      <c r="F44">
        <v>38.341999999999999</v>
      </c>
      <c r="G44">
        <v>15.596</v>
      </c>
      <c r="H44">
        <v>17.978000000000002</v>
      </c>
      <c r="I44" s="2">
        <f t="shared" si="0"/>
        <v>2.1327177661586383</v>
      </c>
      <c r="J44" s="2">
        <f t="shared" si="1"/>
        <v>0.86750472800088996</v>
      </c>
      <c r="K44" t="s">
        <v>55</v>
      </c>
    </row>
    <row r="45" spans="1:11" x14ac:dyDescent="0.4">
      <c r="A45" t="s">
        <v>457</v>
      </c>
      <c r="B45" t="s">
        <v>8</v>
      </c>
      <c r="D45" t="s">
        <v>57</v>
      </c>
      <c r="F45">
        <v>38.174399999999999</v>
      </c>
      <c r="G45">
        <v>15.677199999999999</v>
      </c>
      <c r="H45">
        <v>18.084700000000002</v>
      </c>
      <c r="I45" s="2">
        <f t="shared" si="0"/>
        <v>2.1108671971334885</v>
      </c>
      <c r="J45" s="2">
        <f t="shared" si="1"/>
        <v>0.86687642039956414</v>
      </c>
      <c r="K45" t="s">
        <v>55</v>
      </c>
    </row>
    <row r="46" spans="1:11" x14ac:dyDescent="0.4">
      <c r="A46" t="s">
        <v>457</v>
      </c>
      <c r="B46" t="s">
        <v>8</v>
      </c>
      <c r="C46" t="s">
        <v>41</v>
      </c>
      <c r="D46" t="s">
        <v>18</v>
      </c>
      <c r="E46" t="s">
        <v>41</v>
      </c>
      <c r="F46">
        <v>38.421999999999997</v>
      </c>
      <c r="G46">
        <v>15.696999999999999</v>
      </c>
      <c r="H46">
        <v>18.111000000000001</v>
      </c>
      <c r="I46" s="2">
        <f t="shared" si="0"/>
        <v>2.1214731378720111</v>
      </c>
      <c r="J46" s="2">
        <f t="shared" si="1"/>
        <v>0.86671083871680188</v>
      </c>
      <c r="K46" t="s">
        <v>31</v>
      </c>
    </row>
    <row r="47" spans="1:11" x14ac:dyDescent="0.4">
      <c r="A47" t="s">
        <v>457</v>
      </c>
      <c r="B47" t="s">
        <v>8</v>
      </c>
      <c r="C47" t="s">
        <v>50</v>
      </c>
      <c r="D47" t="s">
        <v>58</v>
      </c>
      <c r="E47" t="s">
        <v>50</v>
      </c>
      <c r="F47">
        <v>38.442999999999998</v>
      </c>
      <c r="G47">
        <v>15.702</v>
      </c>
      <c r="H47">
        <v>18.132999999999999</v>
      </c>
      <c r="I47" s="2">
        <f t="shared" si="0"/>
        <v>2.1200573539954779</v>
      </c>
      <c r="J47" s="2">
        <f t="shared" si="1"/>
        <v>0.86593503557050688</v>
      </c>
      <c r="K47" t="s">
        <v>52</v>
      </c>
    </row>
    <row r="48" spans="1:11" x14ac:dyDescent="0.4">
      <c r="A48" t="s">
        <v>457</v>
      </c>
      <c r="B48" t="s">
        <v>8</v>
      </c>
      <c r="D48">
        <v>512</v>
      </c>
      <c r="F48">
        <v>38.389000000000003</v>
      </c>
      <c r="G48">
        <v>15.682</v>
      </c>
      <c r="H48">
        <v>18.11</v>
      </c>
      <c r="I48" s="2">
        <f t="shared" si="0"/>
        <v>2.1197680839315298</v>
      </c>
      <c r="J48" s="2">
        <f t="shared" si="1"/>
        <v>0.86593042517945895</v>
      </c>
      <c r="K48" t="s">
        <v>55</v>
      </c>
    </row>
    <row r="49" spans="1:11" x14ac:dyDescent="0.4">
      <c r="A49" t="s">
        <v>457</v>
      </c>
      <c r="B49" t="s">
        <v>8</v>
      </c>
      <c r="D49" t="s">
        <v>59</v>
      </c>
      <c r="F49">
        <v>38.366999999999997</v>
      </c>
      <c r="G49">
        <v>15.678000000000001</v>
      </c>
      <c r="H49">
        <v>18.11</v>
      </c>
      <c r="I49" s="2">
        <f t="shared" si="0"/>
        <v>2.1185532854776365</v>
      </c>
      <c r="J49" s="2">
        <f t="shared" si="1"/>
        <v>0.86570955273329664</v>
      </c>
      <c r="K49" t="s">
        <v>46</v>
      </c>
    </row>
    <row r="50" spans="1:11" x14ac:dyDescent="0.4">
      <c r="A50" t="s">
        <v>457</v>
      </c>
      <c r="B50" t="s">
        <v>8</v>
      </c>
      <c r="D50" t="s">
        <v>60</v>
      </c>
      <c r="F50">
        <v>38.42</v>
      </c>
      <c r="G50">
        <v>15.694000000000001</v>
      </c>
      <c r="H50">
        <v>18.134</v>
      </c>
      <c r="I50" s="2">
        <f t="shared" si="0"/>
        <v>2.1186721076431012</v>
      </c>
      <c r="J50" s="2">
        <f t="shared" si="1"/>
        <v>0.86544612330429027</v>
      </c>
      <c r="K50" t="s">
        <v>55</v>
      </c>
    </row>
    <row r="51" spans="1:11" x14ac:dyDescent="0.4">
      <c r="A51" t="s">
        <v>457</v>
      </c>
      <c r="B51" t="s">
        <v>8</v>
      </c>
      <c r="D51" t="s">
        <v>61</v>
      </c>
      <c r="F51">
        <v>38.065100000000001</v>
      </c>
      <c r="G51">
        <v>15.589</v>
      </c>
      <c r="H51">
        <v>18.020299999999999</v>
      </c>
      <c r="I51" s="2">
        <f t="shared" si="0"/>
        <v>2.11234552143971</v>
      </c>
      <c r="J51" s="2">
        <f t="shared" si="1"/>
        <v>0.86507993762589974</v>
      </c>
      <c r="K51" t="s">
        <v>55</v>
      </c>
    </row>
    <row r="52" spans="1:11" x14ac:dyDescent="0.4">
      <c r="A52" t="s">
        <v>457</v>
      </c>
      <c r="B52" t="s">
        <v>8</v>
      </c>
      <c r="C52" t="s">
        <v>50</v>
      </c>
      <c r="D52" t="s">
        <v>62</v>
      </c>
      <c r="E52" t="s">
        <v>50</v>
      </c>
      <c r="F52">
        <v>38.316000000000003</v>
      </c>
      <c r="G52">
        <v>15.718999999999999</v>
      </c>
      <c r="H52">
        <v>18.173999999999999</v>
      </c>
      <c r="I52" s="2">
        <f t="shared" si="0"/>
        <v>2.1082865632221859</v>
      </c>
      <c r="J52" s="2">
        <f t="shared" si="1"/>
        <v>0.86491691427313744</v>
      </c>
      <c r="K52" t="s">
        <v>52</v>
      </c>
    </row>
    <row r="53" spans="1:11" x14ac:dyDescent="0.4">
      <c r="A53" t="s">
        <v>457</v>
      </c>
      <c r="B53" t="s">
        <v>8</v>
      </c>
      <c r="D53">
        <v>594</v>
      </c>
      <c r="F53">
        <v>38.128999999999998</v>
      </c>
      <c r="G53">
        <v>15.602</v>
      </c>
      <c r="H53">
        <v>18.039000000000001</v>
      </c>
      <c r="I53" s="2">
        <f t="shared" si="0"/>
        <v>2.1136980985642215</v>
      </c>
      <c r="J53" s="2">
        <f t="shared" si="1"/>
        <v>0.86490381950218964</v>
      </c>
      <c r="K53" t="s">
        <v>55</v>
      </c>
    </row>
    <row r="54" spans="1:11" x14ac:dyDescent="0.4">
      <c r="A54" t="s">
        <v>457</v>
      </c>
      <c r="B54" t="s">
        <v>8</v>
      </c>
      <c r="D54" t="s">
        <v>63</v>
      </c>
      <c r="F54">
        <v>38.404000000000003</v>
      </c>
      <c r="G54">
        <v>15.662000000000001</v>
      </c>
      <c r="H54">
        <v>18.109000000000002</v>
      </c>
      <c r="I54" s="2">
        <f t="shared" si="0"/>
        <v>2.1207134573968744</v>
      </c>
      <c r="J54" s="2">
        <f t="shared" si="1"/>
        <v>0.86487381964768895</v>
      </c>
      <c r="K54" t="s">
        <v>55</v>
      </c>
    </row>
    <row r="55" spans="1:11" x14ac:dyDescent="0.4">
      <c r="A55" t="s">
        <v>457</v>
      </c>
      <c r="B55" t="s">
        <v>8</v>
      </c>
      <c r="D55" t="s">
        <v>64</v>
      </c>
      <c r="F55">
        <v>38.454999999999998</v>
      </c>
      <c r="G55">
        <v>15.706</v>
      </c>
      <c r="H55">
        <v>18.167000000000002</v>
      </c>
      <c r="I55" s="2">
        <f t="shared" si="0"/>
        <v>2.1167501513733691</v>
      </c>
      <c r="J55" s="2">
        <f t="shared" si="1"/>
        <v>0.86453459569549174</v>
      </c>
      <c r="K55" t="s">
        <v>46</v>
      </c>
    </row>
    <row r="56" spans="1:11" x14ac:dyDescent="0.4">
      <c r="A56" t="s">
        <v>457</v>
      </c>
      <c r="B56" t="s">
        <v>8</v>
      </c>
      <c r="C56" t="s">
        <v>35</v>
      </c>
      <c r="D56" t="s">
        <v>10</v>
      </c>
      <c r="E56" t="s">
        <v>35</v>
      </c>
      <c r="F56">
        <v>38.154000000000003</v>
      </c>
      <c r="G56">
        <v>15.545999999999999</v>
      </c>
      <c r="H56">
        <v>17.983000000000001</v>
      </c>
      <c r="I56" s="2">
        <f t="shared" si="0"/>
        <v>2.1216704665517434</v>
      </c>
      <c r="J56" s="2">
        <f t="shared" si="1"/>
        <v>0.86448312294945218</v>
      </c>
      <c r="K56" t="s">
        <v>31</v>
      </c>
    </row>
    <row r="57" spans="1:11" x14ac:dyDescent="0.4">
      <c r="A57" t="s">
        <v>457</v>
      </c>
      <c r="B57" t="s">
        <v>8</v>
      </c>
      <c r="D57">
        <v>593</v>
      </c>
      <c r="F57">
        <v>38.021999999999998</v>
      </c>
      <c r="G57">
        <v>15.592000000000001</v>
      </c>
      <c r="H57">
        <v>18.038</v>
      </c>
      <c r="I57" s="2">
        <f t="shared" si="0"/>
        <v>2.1078833573566915</v>
      </c>
      <c r="J57" s="2">
        <f t="shared" si="1"/>
        <v>0.86439738330191818</v>
      </c>
      <c r="K57" t="s">
        <v>55</v>
      </c>
    </row>
    <row r="58" spans="1:11" x14ac:dyDescent="0.4">
      <c r="A58" t="s">
        <v>457</v>
      </c>
      <c r="B58" t="s">
        <v>8</v>
      </c>
      <c r="D58" t="s">
        <v>65</v>
      </c>
      <c r="F58">
        <v>37.979999999999997</v>
      </c>
      <c r="G58">
        <v>15.489000000000001</v>
      </c>
      <c r="H58">
        <v>17.920000000000002</v>
      </c>
      <c r="I58" s="2">
        <f t="shared" si="0"/>
        <v>2.1194196428571423</v>
      </c>
      <c r="J58" s="2">
        <f t="shared" si="1"/>
        <v>0.86434151785714286</v>
      </c>
      <c r="K58" t="s">
        <v>55</v>
      </c>
    </row>
    <row r="59" spans="1:11" x14ac:dyDescent="0.4">
      <c r="A59" t="s">
        <v>457</v>
      </c>
      <c r="B59" t="s">
        <v>8</v>
      </c>
      <c r="C59" t="s">
        <v>66</v>
      </c>
      <c r="D59" t="s">
        <v>67</v>
      </c>
      <c r="E59" t="s">
        <v>66</v>
      </c>
      <c r="F59">
        <v>38.389000000000003</v>
      </c>
      <c r="G59">
        <v>15.677</v>
      </c>
      <c r="H59">
        <v>18.140999999999998</v>
      </c>
      <c r="I59" s="2">
        <f t="shared" si="0"/>
        <v>2.1161457472024701</v>
      </c>
      <c r="J59" s="2">
        <f t="shared" si="1"/>
        <v>0.86417507303897256</v>
      </c>
      <c r="K59" t="s">
        <v>68</v>
      </c>
    </row>
    <row r="60" spans="1:11" x14ac:dyDescent="0.4">
      <c r="A60" t="s">
        <v>457</v>
      </c>
      <c r="B60" t="s">
        <v>8</v>
      </c>
      <c r="D60" t="s">
        <v>69</v>
      </c>
      <c r="F60">
        <v>38.1158</v>
      </c>
      <c r="G60">
        <v>15.605600000000001</v>
      </c>
      <c r="H60">
        <v>18.058800000000002</v>
      </c>
      <c r="I60" s="2">
        <f t="shared" si="0"/>
        <v>2.1106496555695835</v>
      </c>
      <c r="J60" s="2">
        <f t="shared" si="1"/>
        <v>0.8641548718630252</v>
      </c>
      <c r="K60" t="s">
        <v>55</v>
      </c>
    </row>
    <row r="61" spans="1:11" x14ac:dyDescent="0.4">
      <c r="A61" t="s">
        <v>457</v>
      </c>
      <c r="B61" t="s">
        <v>8</v>
      </c>
      <c r="C61" t="s">
        <v>50</v>
      </c>
      <c r="D61" t="s">
        <v>70</v>
      </c>
      <c r="E61" t="s">
        <v>50</v>
      </c>
      <c r="F61">
        <v>38.344999999999999</v>
      </c>
      <c r="G61">
        <v>15.666</v>
      </c>
      <c r="H61">
        <v>18.13</v>
      </c>
      <c r="I61" s="2">
        <f t="shared" si="0"/>
        <v>2.1150027578599007</v>
      </c>
      <c r="J61" s="2">
        <f t="shared" si="1"/>
        <v>0.86409266409266416</v>
      </c>
      <c r="K61" t="s">
        <v>52</v>
      </c>
    </row>
    <row r="62" spans="1:11" x14ac:dyDescent="0.4">
      <c r="A62" t="s">
        <v>457</v>
      </c>
      <c r="B62" t="s">
        <v>8</v>
      </c>
      <c r="D62" t="s">
        <v>71</v>
      </c>
      <c r="F62">
        <v>38.134999999999998</v>
      </c>
      <c r="G62">
        <v>15.619</v>
      </c>
      <c r="H62">
        <v>18.0792</v>
      </c>
      <c r="I62" s="2">
        <f t="shared" si="0"/>
        <v>2.1093300588521613</v>
      </c>
      <c r="J62" s="2">
        <f t="shared" si="1"/>
        <v>0.86392096995442269</v>
      </c>
      <c r="K62" t="s">
        <v>55</v>
      </c>
    </row>
    <row r="63" spans="1:11" x14ac:dyDescent="0.4">
      <c r="A63" t="s">
        <v>457</v>
      </c>
      <c r="B63" t="s">
        <v>8</v>
      </c>
      <c r="D63" t="s">
        <v>72</v>
      </c>
      <c r="F63">
        <v>38.027999999999999</v>
      </c>
      <c r="G63">
        <v>15.541</v>
      </c>
      <c r="H63">
        <v>17.989999999999998</v>
      </c>
      <c r="I63" s="2">
        <f t="shared" si="0"/>
        <v>2.1138410227904392</v>
      </c>
      <c r="J63" s="2">
        <f t="shared" si="1"/>
        <v>0.86386881600889398</v>
      </c>
      <c r="K63" t="s">
        <v>55</v>
      </c>
    </row>
    <row r="64" spans="1:11" x14ac:dyDescent="0.4">
      <c r="A64" t="s">
        <v>457</v>
      </c>
      <c r="B64" t="s">
        <v>8</v>
      </c>
      <c r="D64" t="s">
        <v>73</v>
      </c>
      <c r="F64">
        <v>37.965000000000003</v>
      </c>
      <c r="G64">
        <v>15.55</v>
      </c>
      <c r="H64">
        <v>18.001000000000001</v>
      </c>
      <c r="I64" s="2">
        <f t="shared" si="0"/>
        <v>2.1090494972501528</v>
      </c>
      <c r="J64" s="2">
        <f t="shared" si="1"/>
        <v>0.86384089772790396</v>
      </c>
      <c r="K64" t="s">
        <v>46</v>
      </c>
    </row>
    <row r="65" spans="1:11" x14ac:dyDescent="0.4">
      <c r="A65" t="s">
        <v>457</v>
      </c>
      <c r="B65" t="s">
        <v>8</v>
      </c>
      <c r="D65" t="s">
        <v>74</v>
      </c>
      <c r="F65">
        <v>38.103999999999999</v>
      </c>
      <c r="G65">
        <v>15.603</v>
      </c>
      <c r="H65">
        <v>18.065000000000001</v>
      </c>
      <c r="I65" s="2">
        <f t="shared" si="0"/>
        <v>2.1092720730694712</v>
      </c>
      <c r="J65" s="2">
        <f t="shared" si="1"/>
        <v>0.86371436479380004</v>
      </c>
      <c r="K65" t="s">
        <v>55</v>
      </c>
    </row>
    <row r="66" spans="1:11" x14ac:dyDescent="0.4">
      <c r="A66" t="s">
        <v>457</v>
      </c>
      <c r="B66" t="s">
        <v>8</v>
      </c>
      <c r="D66" t="s">
        <v>75</v>
      </c>
      <c r="F66">
        <v>37.887999999999998</v>
      </c>
      <c r="G66">
        <v>15.481</v>
      </c>
      <c r="H66">
        <v>17.925999999999998</v>
      </c>
      <c r="I66" s="2">
        <f t="shared" ref="I66:I129" si="2">F66/H66</f>
        <v>2.1135780430659379</v>
      </c>
      <c r="J66" s="2">
        <f t="shared" ref="J66:J129" si="3">G66/H66</f>
        <v>0.86360593551266329</v>
      </c>
      <c r="K66" t="s">
        <v>55</v>
      </c>
    </row>
    <row r="67" spans="1:11" x14ac:dyDescent="0.4">
      <c r="A67" t="s">
        <v>457</v>
      </c>
      <c r="B67" t="s">
        <v>8</v>
      </c>
      <c r="D67" t="s">
        <v>76</v>
      </c>
      <c r="F67">
        <v>38.012999999999998</v>
      </c>
      <c r="G67">
        <v>15.555</v>
      </c>
      <c r="H67">
        <v>18.013999999999999</v>
      </c>
      <c r="I67" s="2">
        <f t="shared" si="2"/>
        <v>2.1101920728322416</v>
      </c>
      <c r="J67" s="2">
        <f t="shared" si="3"/>
        <v>0.86349505939824578</v>
      </c>
      <c r="K67" t="s">
        <v>55</v>
      </c>
    </row>
    <row r="68" spans="1:11" x14ac:dyDescent="0.4">
      <c r="A68" t="s">
        <v>457</v>
      </c>
      <c r="B68" t="s">
        <v>8</v>
      </c>
      <c r="C68" t="s">
        <v>77</v>
      </c>
      <c r="D68" t="s">
        <v>78</v>
      </c>
      <c r="E68" t="s">
        <v>77</v>
      </c>
      <c r="F68">
        <v>38.293999999999997</v>
      </c>
      <c r="G68">
        <v>15.644</v>
      </c>
      <c r="H68">
        <v>18.117999999999999</v>
      </c>
      <c r="I68" s="2">
        <f t="shared" si="2"/>
        <v>2.1135886963240975</v>
      </c>
      <c r="J68" s="2">
        <f t="shared" si="3"/>
        <v>0.86345071199911694</v>
      </c>
      <c r="K68" t="s">
        <v>79</v>
      </c>
    </row>
    <row r="69" spans="1:11" x14ac:dyDescent="0.4">
      <c r="A69" t="s">
        <v>457</v>
      </c>
      <c r="B69" t="s">
        <v>8</v>
      </c>
      <c r="D69" t="s">
        <v>80</v>
      </c>
      <c r="F69">
        <v>37.957000000000001</v>
      </c>
      <c r="G69">
        <v>15.532999999999999</v>
      </c>
      <c r="H69">
        <v>17.989999999999998</v>
      </c>
      <c r="I69" s="2">
        <f t="shared" si="2"/>
        <v>2.1098943857698722</v>
      </c>
      <c r="J69" s="2">
        <f t="shared" si="3"/>
        <v>0.86342412451361872</v>
      </c>
      <c r="K69" t="s">
        <v>55</v>
      </c>
    </row>
    <row r="70" spans="1:11" x14ac:dyDescent="0.4">
      <c r="A70" t="s">
        <v>457</v>
      </c>
      <c r="B70" t="s">
        <v>8</v>
      </c>
      <c r="D70" t="s">
        <v>81</v>
      </c>
      <c r="F70">
        <v>37.905000000000001</v>
      </c>
      <c r="G70">
        <v>15.444000000000001</v>
      </c>
      <c r="H70">
        <v>17.888999999999999</v>
      </c>
      <c r="I70" s="2">
        <f t="shared" si="2"/>
        <v>2.118899882609425</v>
      </c>
      <c r="J70" s="2">
        <f t="shared" si="3"/>
        <v>0.86332383028676851</v>
      </c>
      <c r="K70" t="s">
        <v>55</v>
      </c>
    </row>
    <row r="71" spans="1:11" x14ac:dyDescent="0.4">
      <c r="A71" t="s">
        <v>457</v>
      </c>
      <c r="B71" t="s">
        <v>8</v>
      </c>
      <c r="D71" t="s">
        <v>82</v>
      </c>
      <c r="F71">
        <v>38.06</v>
      </c>
      <c r="G71">
        <v>15.581</v>
      </c>
      <c r="H71">
        <v>18.050999999999998</v>
      </c>
      <c r="I71" s="2">
        <f t="shared" si="2"/>
        <v>2.1084704448507012</v>
      </c>
      <c r="J71" s="2">
        <f t="shared" si="3"/>
        <v>0.86316547559691992</v>
      </c>
      <c r="K71" t="s">
        <v>55</v>
      </c>
    </row>
    <row r="72" spans="1:11" x14ac:dyDescent="0.4">
      <c r="A72" t="s">
        <v>457</v>
      </c>
      <c r="B72" t="s">
        <v>8</v>
      </c>
      <c r="D72" t="s">
        <v>83</v>
      </c>
      <c r="F72">
        <v>38.03</v>
      </c>
      <c r="G72">
        <v>15.589</v>
      </c>
      <c r="H72">
        <v>18.062000000000001</v>
      </c>
      <c r="I72" s="2">
        <f t="shared" si="2"/>
        <v>2.105525412468165</v>
      </c>
      <c r="J72" s="2">
        <f t="shared" si="3"/>
        <v>0.86308271509245926</v>
      </c>
      <c r="K72" t="s">
        <v>55</v>
      </c>
    </row>
    <row r="73" spans="1:11" x14ac:dyDescent="0.4">
      <c r="A73" t="s">
        <v>457</v>
      </c>
      <c r="B73" t="s">
        <v>8</v>
      </c>
      <c r="D73" t="s">
        <v>84</v>
      </c>
      <c r="F73">
        <v>37.965000000000003</v>
      </c>
      <c r="G73">
        <v>15.574999999999999</v>
      </c>
      <c r="H73">
        <v>18.045999999999999</v>
      </c>
      <c r="I73" s="2">
        <f t="shared" si="2"/>
        <v>2.103790313642913</v>
      </c>
      <c r="J73" s="2">
        <f t="shared" si="3"/>
        <v>0.86307214895267648</v>
      </c>
      <c r="K73" t="s">
        <v>55</v>
      </c>
    </row>
    <row r="74" spans="1:11" x14ac:dyDescent="0.4">
      <c r="A74" t="s">
        <v>457</v>
      </c>
      <c r="B74" t="s">
        <v>8</v>
      </c>
      <c r="D74" t="s">
        <v>85</v>
      </c>
      <c r="F74">
        <v>37.749000000000002</v>
      </c>
      <c r="G74">
        <v>15.436</v>
      </c>
      <c r="H74">
        <v>17.885999999999999</v>
      </c>
      <c r="I74" s="2">
        <f t="shared" si="2"/>
        <v>2.1105333780610533</v>
      </c>
      <c r="J74" s="2">
        <f t="shared" si="3"/>
        <v>0.86302135748630215</v>
      </c>
      <c r="K74" t="s">
        <v>55</v>
      </c>
    </row>
    <row r="75" spans="1:11" x14ac:dyDescent="0.4">
      <c r="A75" t="s">
        <v>457</v>
      </c>
      <c r="B75" t="s">
        <v>8</v>
      </c>
      <c r="D75" t="s">
        <v>86</v>
      </c>
      <c r="F75">
        <v>38.055999999999997</v>
      </c>
      <c r="G75">
        <v>15.579000000000001</v>
      </c>
      <c r="H75">
        <v>18.052</v>
      </c>
      <c r="I75" s="2">
        <f t="shared" si="2"/>
        <v>2.1081320629293154</v>
      </c>
      <c r="J75" s="2">
        <f t="shared" si="3"/>
        <v>0.86300686904498125</v>
      </c>
      <c r="K75" t="s">
        <v>55</v>
      </c>
    </row>
    <row r="76" spans="1:11" x14ac:dyDescent="0.4">
      <c r="A76" t="s">
        <v>457</v>
      </c>
      <c r="B76" t="s">
        <v>8</v>
      </c>
      <c r="C76" t="s">
        <v>77</v>
      </c>
      <c r="D76" t="s">
        <v>87</v>
      </c>
      <c r="E76" t="s">
        <v>77</v>
      </c>
      <c r="F76">
        <v>38.290999999999997</v>
      </c>
      <c r="G76">
        <v>15.635999999999999</v>
      </c>
      <c r="H76">
        <v>18.122</v>
      </c>
      <c r="I76" s="2">
        <f t="shared" si="2"/>
        <v>2.1129566273038294</v>
      </c>
      <c r="J76" s="2">
        <f t="shared" si="3"/>
        <v>0.86281867343560315</v>
      </c>
      <c r="K76" t="s">
        <v>79</v>
      </c>
    </row>
    <row r="77" spans="1:11" x14ac:dyDescent="0.4">
      <c r="A77" t="s">
        <v>457</v>
      </c>
      <c r="B77" t="s">
        <v>8</v>
      </c>
      <c r="C77" t="s">
        <v>77</v>
      </c>
      <c r="D77" t="s">
        <v>88</v>
      </c>
      <c r="E77" t="s">
        <v>77</v>
      </c>
      <c r="F77">
        <v>38.256</v>
      </c>
      <c r="G77">
        <v>15.625</v>
      </c>
      <c r="H77">
        <v>18.111000000000001</v>
      </c>
      <c r="I77" s="2">
        <f t="shared" si="2"/>
        <v>2.1123074374689415</v>
      </c>
      <c r="J77" s="2">
        <f t="shared" si="3"/>
        <v>0.86273535420462699</v>
      </c>
      <c r="K77" t="s">
        <v>79</v>
      </c>
    </row>
    <row r="78" spans="1:11" x14ac:dyDescent="0.4">
      <c r="A78" t="s">
        <v>457</v>
      </c>
      <c r="B78" t="s">
        <v>8</v>
      </c>
      <c r="D78" t="s">
        <v>89</v>
      </c>
      <c r="F78">
        <v>38.06</v>
      </c>
      <c r="G78">
        <v>15.587999999999999</v>
      </c>
      <c r="H78">
        <v>18.074999999999999</v>
      </c>
      <c r="I78" s="2">
        <f t="shared" si="2"/>
        <v>2.1056708160442601</v>
      </c>
      <c r="J78" s="2">
        <f t="shared" si="3"/>
        <v>0.86240663900414938</v>
      </c>
      <c r="K78" t="s">
        <v>55</v>
      </c>
    </row>
    <row r="79" spans="1:11" x14ac:dyDescent="0.4">
      <c r="A79" t="s">
        <v>457</v>
      </c>
      <c r="B79" s="3" t="s">
        <v>8</v>
      </c>
      <c r="C79" s="4"/>
      <c r="D79" s="5" t="s">
        <v>90</v>
      </c>
      <c r="E79" s="4"/>
      <c r="F79" s="5">
        <v>39.959000000000003</v>
      </c>
      <c r="G79" s="5">
        <v>15.54</v>
      </c>
      <c r="H79" s="5">
        <v>18.02</v>
      </c>
      <c r="I79" s="2">
        <f t="shared" si="2"/>
        <v>2.2174805771365151</v>
      </c>
      <c r="J79" s="2">
        <f t="shared" si="3"/>
        <v>0.86237513873473914</v>
      </c>
      <c r="K79" s="5" t="s">
        <v>55</v>
      </c>
    </row>
    <row r="80" spans="1:11" x14ac:dyDescent="0.4">
      <c r="A80" t="s">
        <v>457</v>
      </c>
      <c r="B80" t="s">
        <v>8</v>
      </c>
      <c r="C80" t="s">
        <v>50</v>
      </c>
      <c r="D80" t="s">
        <v>91</v>
      </c>
      <c r="E80" t="s">
        <v>50</v>
      </c>
      <c r="F80">
        <v>38.625999999999998</v>
      </c>
      <c r="G80">
        <v>15.646000000000001</v>
      </c>
      <c r="H80">
        <v>18.146000000000001</v>
      </c>
      <c r="I80" s="2">
        <f t="shared" si="2"/>
        <v>2.1286233880745065</v>
      </c>
      <c r="J80" s="2">
        <f t="shared" si="3"/>
        <v>0.86222859032293619</v>
      </c>
      <c r="K80" t="s">
        <v>52</v>
      </c>
    </row>
    <row r="81" spans="1:11" x14ac:dyDescent="0.4">
      <c r="A81" t="s">
        <v>457</v>
      </c>
      <c r="B81" t="s">
        <v>8</v>
      </c>
      <c r="D81" t="s">
        <v>92</v>
      </c>
      <c r="F81">
        <v>37.945999999999998</v>
      </c>
      <c r="G81">
        <v>15.553000000000001</v>
      </c>
      <c r="H81">
        <v>18.04</v>
      </c>
      <c r="I81" s="2">
        <f t="shared" si="2"/>
        <v>2.1034368070953438</v>
      </c>
      <c r="J81" s="2">
        <f t="shared" si="3"/>
        <v>0.86213968957871401</v>
      </c>
      <c r="K81" t="s">
        <v>55</v>
      </c>
    </row>
    <row r="82" spans="1:11" x14ac:dyDescent="0.4">
      <c r="A82" t="s">
        <v>457</v>
      </c>
      <c r="B82" t="s">
        <v>8</v>
      </c>
      <c r="D82" t="s">
        <v>93</v>
      </c>
      <c r="F82">
        <v>38.226999999999997</v>
      </c>
      <c r="G82">
        <v>15.564</v>
      </c>
      <c r="H82">
        <v>18.064</v>
      </c>
      <c r="I82" s="2">
        <f t="shared" si="2"/>
        <v>2.1161979627989371</v>
      </c>
      <c r="J82" s="2">
        <f t="shared" si="3"/>
        <v>0.86160318866253327</v>
      </c>
      <c r="K82" t="s">
        <v>94</v>
      </c>
    </row>
    <row r="83" spans="1:11" x14ac:dyDescent="0.4">
      <c r="A83" t="s">
        <v>457</v>
      </c>
      <c r="B83" t="s">
        <v>8</v>
      </c>
      <c r="C83" t="s">
        <v>95</v>
      </c>
      <c r="D83" t="s">
        <v>96</v>
      </c>
      <c r="E83" t="s">
        <v>95</v>
      </c>
      <c r="F83">
        <v>38.383000000000003</v>
      </c>
      <c r="G83">
        <v>15.669</v>
      </c>
      <c r="H83">
        <v>18.186</v>
      </c>
      <c r="I83" s="2">
        <f t="shared" si="2"/>
        <v>2.1105795666996592</v>
      </c>
      <c r="J83" s="2">
        <f t="shared" si="3"/>
        <v>0.86159683272847243</v>
      </c>
      <c r="K83" t="s">
        <v>79</v>
      </c>
    </row>
    <row r="84" spans="1:11" x14ac:dyDescent="0.4">
      <c r="A84" t="s">
        <v>457</v>
      </c>
      <c r="B84" s="3" t="s">
        <v>8</v>
      </c>
      <c r="C84" s="4"/>
      <c r="D84" s="5" t="s">
        <v>97</v>
      </c>
      <c r="E84" s="4"/>
      <c r="F84" s="5">
        <v>38.237000000000002</v>
      </c>
      <c r="G84" s="5">
        <v>15.567</v>
      </c>
      <c r="H84" s="5">
        <v>18.068000000000001</v>
      </c>
      <c r="I84" s="2">
        <f t="shared" si="2"/>
        <v>2.1162829311489926</v>
      </c>
      <c r="J84" s="2">
        <f t="shared" si="3"/>
        <v>0.86157848129289349</v>
      </c>
      <c r="K84" s="5" t="s">
        <v>94</v>
      </c>
    </row>
    <row r="85" spans="1:11" x14ac:dyDescent="0.4">
      <c r="A85" t="s">
        <v>457</v>
      </c>
      <c r="B85" t="s">
        <v>8</v>
      </c>
      <c r="C85" t="s">
        <v>98</v>
      </c>
      <c r="D85" t="s">
        <v>99</v>
      </c>
      <c r="E85" t="s">
        <v>98</v>
      </c>
      <c r="F85">
        <v>38.472000000000001</v>
      </c>
      <c r="G85">
        <v>15.689</v>
      </c>
      <c r="H85">
        <v>18.213999999999999</v>
      </c>
      <c r="I85" s="2">
        <f t="shared" si="2"/>
        <v>2.1122213681783246</v>
      </c>
      <c r="J85" s="2">
        <f t="shared" si="3"/>
        <v>0.86137037443724618</v>
      </c>
      <c r="K85" t="s">
        <v>79</v>
      </c>
    </row>
    <row r="86" spans="1:11" x14ac:dyDescent="0.4">
      <c r="A86" t="s">
        <v>457</v>
      </c>
      <c r="B86" t="s">
        <v>8</v>
      </c>
      <c r="D86" t="s">
        <v>100</v>
      </c>
      <c r="F86">
        <v>38.024999999999999</v>
      </c>
      <c r="G86">
        <v>15.93</v>
      </c>
      <c r="H86">
        <v>18.504999999999999</v>
      </c>
      <c r="I86" s="2">
        <f t="shared" si="2"/>
        <v>2.0548500405295864</v>
      </c>
      <c r="J86" s="2">
        <f t="shared" si="3"/>
        <v>0.86084841934612266</v>
      </c>
      <c r="K86" t="s">
        <v>27</v>
      </c>
    </row>
    <row r="87" spans="1:11" x14ac:dyDescent="0.4">
      <c r="A87" t="s">
        <v>457</v>
      </c>
      <c r="B87" t="s">
        <v>8</v>
      </c>
      <c r="C87" t="s">
        <v>95</v>
      </c>
      <c r="D87" t="s">
        <v>101</v>
      </c>
      <c r="E87" t="s">
        <v>95</v>
      </c>
      <c r="F87">
        <v>38.542000000000002</v>
      </c>
      <c r="G87">
        <v>15.717000000000001</v>
      </c>
      <c r="H87">
        <v>18.265000000000001</v>
      </c>
      <c r="I87" s="2">
        <f t="shared" si="2"/>
        <v>2.1101560361346841</v>
      </c>
      <c r="J87" s="2">
        <f t="shared" si="3"/>
        <v>0.86049822064056936</v>
      </c>
      <c r="K87" t="s">
        <v>79</v>
      </c>
    </row>
    <row r="88" spans="1:11" x14ac:dyDescent="0.4">
      <c r="A88" t="s">
        <v>457</v>
      </c>
      <c r="B88" t="s">
        <v>8</v>
      </c>
      <c r="C88" t="s">
        <v>95</v>
      </c>
      <c r="D88" t="s">
        <v>102</v>
      </c>
      <c r="E88" t="s">
        <v>95</v>
      </c>
      <c r="F88">
        <v>38.360999999999997</v>
      </c>
      <c r="G88">
        <v>15.638999999999999</v>
      </c>
      <c r="H88">
        <v>18.175000000000001</v>
      </c>
      <c r="I88" s="2">
        <f t="shared" si="2"/>
        <v>2.1106464924346628</v>
      </c>
      <c r="J88" s="2">
        <f t="shared" si="3"/>
        <v>0.86046767537826674</v>
      </c>
      <c r="K88" t="s">
        <v>79</v>
      </c>
    </row>
    <row r="89" spans="1:11" x14ac:dyDescent="0.4">
      <c r="A89" t="s">
        <v>457</v>
      </c>
      <c r="B89" t="s">
        <v>8</v>
      </c>
      <c r="D89" t="s">
        <v>103</v>
      </c>
      <c r="F89">
        <v>37.408999999999999</v>
      </c>
      <c r="G89">
        <v>15.362</v>
      </c>
      <c r="H89">
        <v>17.855</v>
      </c>
      <c r="I89" s="2">
        <f t="shared" si="2"/>
        <v>2.0951554186502381</v>
      </c>
      <c r="J89" s="2">
        <f t="shared" si="3"/>
        <v>0.86037524502940355</v>
      </c>
      <c r="K89" t="s">
        <v>27</v>
      </c>
    </row>
    <row r="90" spans="1:11" x14ac:dyDescent="0.4">
      <c r="A90" t="s">
        <v>457</v>
      </c>
      <c r="B90" t="s">
        <v>8</v>
      </c>
      <c r="C90" t="s">
        <v>95</v>
      </c>
      <c r="D90" t="s">
        <v>104</v>
      </c>
      <c r="E90" t="s">
        <v>95</v>
      </c>
      <c r="F90">
        <v>38.298999999999999</v>
      </c>
      <c r="G90">
        <v>15.622999999999999</v>
      </c>
      <c r="H90">
        <v>18.16</v>
      </c>
      <c r="I90" s="2">
        <f t="shared" si="2"/>
        <v>2.10897577092511</v>
      </c>
      <c r="J90" s="2">
        <f t="shared" si="3"/>
        <v>0.86029735682819375</v>
      </c>
      <c r="K90" t="s">
        <v>79</v>
      </c>
    </row>
    <row r="91" spans="1:11" x14ac:dyDescent="0.4">
      <c r="A91" t="s">
        <v>457</v>
      </c>
      <c r="B91" t="s">
        <v>8</v>
      </c>
      <c r="C91" t="s">
        <v>98</v>
      </c>
      <c r="D91" t="s">
        <v>105</v>
      </c>
      <c r="E91" t="s">
        <v>98</v>
      </c>
      <c r="F91">
        <v>38.473999999999997</v>
      </c>
      <c r="G91">
        <v>15.693</v>
      </c>
      <c r="H91">
        <v>18.245000000000001</v>
      </c>
      <c r="I91" s="2">
        <f t="shared" si="2"/>
        <v>2.108742121129076</v>
      </c>
      <c r="J91" s="2">
        <f t="shared" si="3"/>
        <v>0.86012606193477659</v>
      </c>
      <c r="K91" t="s">
        <v>79</v>
      </c>
    </row>
    <row r="92" spans="1:11" x14ac:dyDescent="0.4">
      <c r="A92" t="s">
        <v>457</v>
      </c>
      <c r="B92" s="1" t="s">
        <v>8</v>
      </c>
      <c r="C92" s="1" t="s">
        <v>106</v>
      </c>
      <c r="D92" s="1" t="s">
        <v>107</v>
      </c>
      <c r="E92" s="1" t="s">
        <v>108</v>
      </c>
      <c r="F92" s="1">
        <v>38.569000000000003</v>
      </c>
      <c r="G92" s="1">
        <v>15.602</v>
      </c>
      <c r="H92" s="1">
        <v>18.140999999999998</v>
      </c>
      <c r="I92" s="2">
        <f t="shared" si="2"/>
        <v>2.1260680227109865</v>
      </c>
      <c r="J92" s="2">
        <f t="shared" si="3"/>
        <v>0.86004079157709068</v>
      </c>
      <c r="K92" s="1" t="s">
        <v>109</v>
      </c>
    </row>
    <row r="93" spans="1:11" x14ac:dyDescent="0.4">
      <c r="A93" t="s">
        <v>457</v>
      </c>
      <c r="B93" t="s">
        <v>8</v>
      </c>
      <c r="D93" t="s">
        <v>110</v>
      </c>
      <c r="F93">
        <v>38.270000000000003</v>
      </c>
      <c r="G93">
        <v>15.592000000000001</v>
      </c>
      <c r="H93">
        <v>18.14</v>
      </c>
      <c r="I93" s="2">
        <f t="shared" si="2"/>
        <v>2.1097023153252481</v>
      </c>
      <c r="J93" s="2">
        <f t="shared" si="3"/>
        <v>0.85953693495038586</v>
      </c>
      <c r="K93" t="s">
        <v>46</v>
      </c>
    </row>
    <row r="94" spans="1:11" x14ac:dyDescent="0.4">
      <c r="A94" t="s">
        <v>457</v>
      </c>
      <c r="B94" t="s">
        <v>8</v>
      </c>
      <c r="C94" t="s">
        <v>66</v>
      </c>
      <c r="D94" t="s">
        <v>111</v>
      </c>
      <c r="E94" t="s">
        <v>66</v>
      </c>
      <c r="F94">
        <v>38.344000000000001</v>
      </c>
      <c r="G94">
        <v>15.682</v>
      </c>
      <c r="H94">
        <v>18.251999999999999</v>
      </c>
      <c r="I94" s="2">
        <f t="shared" si="2"/>
        <v>2.1008108700416392</v>
      </c>
      <c r="J94" s="2">
        <f t="shared" si="3"/>
        <v>0.85919351303966696</v>
      </c>
      <c r="K94" t="s">
        <v>68</v>
      </c>
    </row>
    <row r="95" spans="1:11" x14ac:dyDescent="0.4">
      <c r="A95" t="s">
        <v>457</v>
      </c>
      <c r="B95" t="s">
        <v>8</v>
      </c>
      <c r="C95" t="s">
        <v>95</v>
      </c>
      <c r="D95" t="s">
        <v>112</v>
      </c>
      <c r="E95" t="s">
        <v>95</v>
      </c>
      <c r="F95">
        <v>38.423000000000002</v>
      </c>
      <c r="G95">
        <v>15.65</v>
      </c>
      <c r="H95">
        <v>18.216000000000001</v>
      </c>
      <c r="I95" s="2">
        <f t="shared" si="2"/>
        <v>2.1092995169082127</v>
      </c>
      <c r="J95" s="2">
        <f t="shared" si="3"/>
        <v>0.85913482652613082</v>
      </c>
      <c r="K95" t="s">
        <v>79</v>
      </c>
    </row>
    <row r="96" spans="1:11" x14ac:dyDescent="0.4">
      <c r="A96" t="s">
        <v>457</v>
      </c>
      <c r="B96" t="s">
        <v>8</v>
      </c>
      <c r="C96" t="s">
        <v>95</v>
      </c>
      <c r="D96" t="s">
        <v>113</v>
      </c>
      <c r="E96" t="s">
        <v>95</v>
      </c>
      <c r="F96">
        <v>38.369999999999997</v>
      </c>
      <c r="G96">
        <v>15.637</v>
      </c>
      <c r="H96">
        <v>18.204000000000001</v>
      </c>
      <c r="I96" s="2">
        <f t="shared" si="2"/>
        <v>2.1077785102175346</v>
      </c>
      <c r="J96" s="2">
        <f t="shared" si="3"/>
        <v>0.85898703581630409</v>
      </c>
      <c r="K96" t="s">
        <v>79</v>
      </c>
    </row>
    <row r="97" spans="1:27" x14ac:dyDescent="0.4">
      <c r="A97" t="s">
        <v>457</v>
      </c>
      <c r="B97" t="s">
        <v>8</v>
      </c>
      <c r="D97" t="s">
        <v>114</v>
      </c>
      <c r="F97">
        <v>38.493000000000002</v>
      </c>
      <c r="G97">
        <v>15.625999999999999</v>
      </c>
      <c r="H97">
        <v>18.196999999999999</v>
      </c>
      <c r="I97" s="2">
        <f t="shared" si="2"/>
        <v>2.1153486838489863</v>
      </c>
      <c r="J97" s="2">
        <f t="shared" si="3"/>
        <v>0.85871297466615382</v>
      </c>
      <c r="K97" t="s">
        <v>27</v>
      </c>
    </row>
    <row r="98" spans="1:27" x14ac:dyDescent="0.4">
      <c r="A98" t="s">
        <v>457</v>
      </c>
      <c r="B98" s="3" t="s">
        <v>8</v>
      </c>
      <c r="C98" s="4"/>
      <c r="D98" s="5" t="s">
        <v>115</v>
      </c>
      <c r="E98" s="4"/>
      <c r="F98" s="5">
        <v>38.140999999999998</v>
      </c>
      <c r="G98" s="5">
        <v>15.619</v>
      </c>
      <c r="H98" s="5">
        <v>18.190999999999999</v>
      </c>
      <c r="I98" s="2">
        <f t="shared" si="2"/>
        <v>2.0966961684349403</v>
      </c>
      <c r="J98" s="2">
        <f t="shared" si="3"/>
        <v>0.85861140124237267</v>
      </c>
      <c r="K98" s="5" t="s">
        <v>27</v>
      </c>
    </row>
    <row r="99" spans="1:27" x14ac:dyDescent="0.4">
      <c r="A99" t="s">
        <v>457</v>
      </c>
      <c r="B99" t="s">
        <v>8</v>
      </c>
      <c r="C99" t="s">
        <v>95</v>
      </c>
      <c r="D99" t="s">
        <v>112</v>
      </c>
      <c r="E99" t="s">
        <v>95</v>
      </c>
      <c r="F99">
        <v>38.731999999999999</v>
      </c>
      <c r="G99">
        <v>15.789</v>
      </c>
      <c r="H99">
        <v>18.39</v>
      </c>
      <c r="I99" s="2">
        <f t="shared" si="2"/>
        <v>2.1061446438281672</v>
      </c>
      <c r="J99" s="2">
        <f t="shared" si="3"/>
        <v>0.85856443719412723</v>
      </c>
      <c r="K99" t="s">
        <v>79</v>
      </c>
    </row>
    <row r="100" spans="1:27" x14ac:dyDescent="0.4">
      <c r="A100" t="s">
        <v>457</v>
      </c>
      <c r="B100" t="s">
        <v>8</v>
      </c>
      <c r="D100" t="s">
        <v>116</v>
      </c>
      <c r="F100">
        <v>38.151000000000003</v>
      </c>
      <c r="G100">
        <v>15.545999999999999</v>
      </c>
      <c r="H100">
        <v>18.14</v>
      </c>
      <c r="I100" s="2">
        <f t="shared" si="2"/>
        <v>2.1031422271223814</v>
      </c>
      <c r="J100" s="2">
        <f t="shared" si="3"/>
        <v>0.85700110253583239</v>
      </c>
      <c r="K100" t="s">
        <v>27</v>
      </c>
    </row>
    <row r="101" spans="1:27" x14ac:dyDescent="0.4">
      <c r="A101" t="s">
        <v>457</v>
      </c>
      <c r="B101" t="s">
        <v>8</v>
      </c>
      <c r="D101" t="s">
        <v>117</v>
      </c>
      <c r="F101">
        <v>38.476999999999997</v>
      </c>
      <c r="G101">
        <v>15.611000000000001</v>
      </c>
      <c r="H101">
        <v>18.251000000000001</v>
      </c>
      <c r="I101" s="2">
        <f t="shared" si="2"/>
        <v>2.1082132485891183</v>
      </c>
      <c r="J101" s="2">
        <f t="shared" si="3"/>
        <v>0.85535039175935568</v>
      </c>
      <c r="K101" t="s">
        <v>27</v>
      </c>
    </row>
    <row r="102" spans="1:27" x14ac:dyDescent="0.4">
      <c r="A102" t="s">
        <v>457</v>
      </c>
      <c r="B102" t="s">
        <v>8</v>
      </c>
      <c r="D102" t="s">
        <v>118</v>
      </c>
      <c r="F102">
        <v>38.295999999999999</v>
      </c>
      <c r="G102">
        <v>15.63</v>
      </c>
      <c r="H102">
        <v>18.289000000000001</v>
      </c>
      <c r="I102" s="2">
        <f t="shared" si="2"/>
        <v>2.093936245830827</v>
      </c>
      <c r="J102" s="2">
        <f t="shared" si="3"/>
        <v>0.85461206189512817</v>
      </c>
      <c r="K102" t="s">
        <v>27</v>
      </c>
    </row>
    <row r="103" spans="1:27" x14ac:dyDescent="0.4">
      <c r="A103" t="s">
        <v>457</v>
      </c>
      <c r="B103" t="s">
        <v>8</v>
      </c>
      <c r="D103" t="s">
        <v>119</v>
      </c>
      <c r="F103">
        <v>37.552999999999997</v>
      </c>
      <c r="G103">
        <v>15.362</v>
      </c>
      <c r="H103">
        <v>18.004999999999999</v>
      </c>
      <c r="I103" s="2">
        <f t="shared" si="2"/>
        <v>2.0856984171063595</v>
      </c>
      <c r="J103" s="2">
        <f t="shared" si="3"/>
        <v>0.85320744237711754</v>
      </c>
      <c r="K103" t="s">
        <v>27</v>
      </c>
    </row>
    <row r="104" spans="1:27" x14ac:dyDescent="0.4">
      <c r="A104" t="s">
        <v>457</v>
      </c>
      <c r="B104" t="s">
        <v>8</v>
      </c>
      <c r="D104" t="s">
        <v>120</v>
      </c>
      <c r="F104">
        <v>37.561999999999998</v>
      </c>
      <c r="G104">
        <v>15.177</v>
      </c>
      <c r="H104">
        <v>17.800999999999998</v>
      </c>
      <c r="I104" s="2">
        <f t="shared" si="2"/>
        <v>2.1101061738104603</v>
      </c>
      <c r="J104" s="2">
        <f t="shared" si="3"/>
        <v>0.85259255098028208</v>
      </c>
      <c r="K104" t="s">
        <v>27</v>
      </c>
    </row>
    <row r="105" spans="1:27" x14ac:dyDescent="0.4">
      <c r="A105" t="s">
        <v>457</v>
      </c>
      <c r="B105" t="s">
        <v>8</v>
      </c>
      <c r="D105" t="s">
        <v>121</v>
      </c>
      <c r="F105">
        <v>38.35</v>
      </c>
      <c r="G105">
        <v>15.531000000000001</v>
      </c>
      <c r="H105">
        <v>18.224</v>
      </c>
      <c r="I105" s="2">
        <f t="shared" si="2"/>
        <v>2.1043678665496048</v>
      </c>
      <c r="J105" s="2">
        <f t="shared" si="3"/>
        <v>0.85222783143107994</v>
      </c>
      <c r="K105" t="s">
        <v>27</v>
      </c>
    </row>
    <row r="106" spans="1:27" x14ac:dyDescent="0.4">
      <c r="A106" t="s">
        <v>457</v>
      </c>
      <c r="B106" t="s">
        <v>8</v>
      </c>
      <c r="D106" t="s">
        <v>122</v>
      </c>
      <c r="F106">
        <v>38.005000000000003</v>
      </c>
      <c r="G106">
        <v>15.557</v>
      </c>
      <c r="H106">
        <v>18.277000000000001</v>
      </c>
      <c r="I106" s="2">
        <f t="shared" si="2"/>
        <v>2.0793893965092738</v>
      </c>
      <c r="J106" s="2">
        <f t="shared" si="3"/>
        <v>0.85117907752913491</v>
      </c>
      <c r="K106" t="s">
        <v>27</v>
      </c>
    </row>
    <row r="107" spans="1:27" x14ac:dyDescent="0.4">
      <c r="A107" t="s">
        <v>457</v>
      </c>
      <c r="B107" t="s">
        <v>8</v>
      </c>
      <c r="D107" t="s">
        <v>123</v>
      </c>
      <c r="F107">
        <v>38.246000000000002</v>
      </c>
      <c r="G107">
        <v>15.523999999999999</v>
      </c>
      <c r="H107">
        <v>18.241</v>
      </c>
      <c r="I107" s="2">
        <f t="shared" si="2"/>
        <v>2.0967052244942712</v>
      </c>
      <c r="J107" s="2">
        <f t="shared" si="3"/>
        <v>0.85104983279425472</v>
      </c>
      <c r="K107" t="s">
        <v>27</v>
      </c>
    </row>
    <row r="108" spans="1:27" x14ac:dyDescent="0.4">
      <c r="A108" t="s">
        <v>457</v>
      </c>
      <c r="B108" t="s">
        <v>8</v>
      </c>
      <c r="D108" t="s">
        <v>124</v>
      </c>
      <c r="F108">
        <v>37.606999999999999</v>
      </c>
      <c r="G108">
        <v>15.382</v>
      </c>
      <c r="H108">
        <v>18.097000000000001</v>
      </c>
      <c r="I108" s="2">
        <f t="shared" si="2"/>
        <v>2.0780792396529808</v>
      </c>
      <c r="J108" s="2">
        <f t="shared" si="3"/>
        <v>0.84997513400011049</v>
      </c>
      <c r="K108" t="s">
        <v>27</v>
      </c>
      <c r="L108"/>
      <c r="M108"/>
      <c r="N108"/>
      <c r="O108"/>
      <c r="P108"/>
      <c r="Q108"/>
      <c r="R108"/>
      <c r="S108"/>
      <c r="T108"/>
      <c r="U108"/>
      <c r="V108"/>
      <c r="W108"/>
      <c r="X108"/>
      <c r="Y108"/>
      <c r="Z108"/>
      <c r="AA108"/>
    </row>
    <row r="109" spans="1:27" x14ac:dyDescent="0.4">
      <c r="A109" t="s">
        <v>457</v>
      </c>
      <c r="B109" t="s">
        <v>8</v>
      </c>
      <c r="D109" t="s">
        <v>125</v>
      </c>
      <c r="F109">
        <v>37.857999999999997</v>
      </c>
      <c r="G109">
        <v>15.475</v>
      </c>
      <c r="H109">
        <v>18.231999999999999</v>
      </c>
      <c r="I109" s="2">
        <f t="shared" si="2"/>
        <v>2.0764589732338745</v>
      </c>
      <c r="J109" s="2">
        <f t="shared" si="3"/>
        <v>0.84878236068451074</v>
      </c>
      <c r="K109" t="s">
        <v>27</v>
      </c>
    </row>
    <row r="110" spans="1:27" x14ac:dyDescent="0.4">
      <c r="A110" t="s">
        <v>457</v>
      </c>
      <c r="B110" t="s">
        <v>8</v>
      </c>
      <c r="D110" t="s">
        <v>126</v>
      </c>
      <c r="F110">
        <v>38.340000000000003</v>
      </c>
      <c r="G110">
        <v>15.67</v>
      </c>
      <c r="H110">
        <v>18.475999999999999</v>
      </c>
      <c r="I110" s="2">
        <f t="shared" si="2"/>
        <v>2.0751244858194418</v>
      </c>
      <c r="J110" s="2">
        <f t="shared" si="3"/>
        <v>0.84812730028144623</v>
      </c>
      <c r="K110" t="s">
        <v>27</v>
      </c>
    </row>
    <row r="111" spans="1:27" x14ac:dyDescent="0.4">
      <c r="A111" t="s">
        <v>457</v>
      </c>
      <c r="B111" t="s">
        <v>8</v>
      </c>
      <c r="D111" t="s">
        <v>127</v>
      </c>
      <c r="F111">
        <v>38.323999999999998</v>
      </c>
      <c r="G111">
        <v>15.6</v>
      </c>
      <c r="H111">
        <v>18.423999999999999</v>
      </c>
      <c r="I111" s="2">
        <f t="shared" si="2"/>
        <v>2.0801128962223188</v>
      </c>
      <c r="J111" s="2">
        <f t="shared" si="3"/>
        <v>0.84672166739036037</v>
      </c>
      <c r="K111" t="s">
        <v>94</v>
      </c>
    </row>
    <row r="112" spans="1:27" x14ac:dyDescent="0.4">
      <c r="A112" t="s">
        <v>457</v>
      </c>
      <c r="B112" s="3" t="s">
        <v>8</v>
      </c>
      <c r="C112" s="5" t="s">
        <v>128</v>
      </c>
      <c r="D112" s="5" t="s">
        <v>129</v>
      </c>
      <c r="E112" s="5" t="s">
        <v>128</v>
      </c>
      <c r="F112" s="5">
        <v>38.39</v>
      </c>
      <c r="G112" s="5">
        <v>15.598000000000001</v>
      </c>
      <c r="H112" s="5">
        <v>18.43</v>
      </c>
      <c r="I112" s="2">
        <f t="shared" si="2"/>
        <v>2.0830168204015194</v>
      </c>
      <c r="J112" s="2">
        <f t="shared" si="3"/>
        <v>0.84633749321758012</v>
      </c>
      <c r="K112" s="5" t="s">
        <v>130</v>
      </c>
    </row>
    <row r="113" spans="1:11" x14ac:dyDescent="0.4">
      <c r="A113" t="s">
        <v>457</v>
      </c>
      <c r="B113" t="s">
        <v>8</v>
      </c>
      <c r="D113" t="s">
        <v>131</v>
      </c>
      <c r="F113">
        <v>38.426000000000002</v>
      </c>
      <c r="G113">
        <v>15.637</v>
      </c>
      <c r="H113">
        <v>18.492000000000001</v>
      </c>
      <c r="I113" s="2">
        <f t="shared" si="2"/>
        <v>2.0779796668829764</v>
      </c>
      <c r="J113" s="2">
        <f t="shared" si="3"/>
        <v>0.84560891196192944</v>
      </c>
      <c r="K113" t="s">
        <v>27</v>
      </c>
    </row>
    <row r="114" spans="1:11" x14ac:dyDescent="0.4">
      <c r="A114" t="s">
        <v>457</v>
      </c>
      <c r="B114" s="1" t="s">
        <v>8</v>
      </c>
      <c r="C114" s="1" t="s">
        <v>106</v>
      </c>
      <c r="D114" s="1" t="s">
        <v>132</v>
      </c>
      <c r="E114" s="1" t="s">
        <v>108</v>
      </c>
      <c r="F114" s="1">
        <v>38.805999999999997</v>
      </c>
      <c r="G114" s="1">
        <v>15.621</v>
      </c>
      <c r="H114" s="1">
        <v>18.478999999999999</v>
      </c>
      <c r="I114" s="2">
        <f t="shared" si="2"/>
        <v>2.1000054115482438</v>
      </c>
      <c r="J114" s="2">
        <f t="shared" si="3"/>
        <v>0.84533795118783495</v>
      </c>
      <c r="K114" s="1" t="s">
        <v>517</v>
      </c>
    </row>
    <row r="115" spans="1:11" x14ac:dyDescent="0.4">
      <c r="A115" t="s">
        <v>457</v>
      </c>
      <c r="B115" s="1" t="s">
        <v>8</v>
      </c>
      <c r="C115" s="1" t="s">
        <v>106</v>
      </c>
      <c r="D115" s="1" t="s">
        <v>133</v>
      </c>
      <c r="E115" s="1" t="s">
        <v>108</v>
      </c>
      <c r="F115" s="1">
        <v>38.633000000000003</v>
      </c>
      <c r="G115" s="1">
        <v>15.632</v>
      </c>
      <c r="H115" s="1">
        <v>18.616</v>
      </c>
      <c r="I115" s="2">
        <f t="shared" si="2"/>
        <v>2.0752578427159434</v>
      </c>
      <c r="J115" s="2">
        <f t="shared" si="3"/>
        <v>0.83970777825526433</v>
      </c>
      <c r="K115" s="1" t="s">
        <v>518</v>
      </c>
    </row>
    <row r="116" spans="1:11" x14ac:dyDescent="0.4">
      <c r="A116" t="s">
        <v>457</v>
      </c>
      <c r="B116" t="s">
        <v>8</v>
      </c>
      <c r="D116" t="s">
        <v>134</v>
      </c>
      <c r="F116">
        <v>38.209000000000003</v>
      </c>
      <c r="G116">
        <v>15.598000000000001</v>
      </c>
      <c r="H116">
        <v>18.59</v>
      </c>
      <c r="I116" s="2">
        <f t="shared" si="2"/>
        <v>2.0553523399677247</v>
      </c>
      <c r="J116" s="2">
        <f t="shared" si="3"/>
        <v>0.83905325443786982</v>
      </c>
      <c r="K116" t="s">
        <v>94</v>
      </c>
    </row>
    <row r="117" spans="1:11" x14ac:dyDescent="0.4">
      <c r="A117" t="s">
        <v>457</v>
      </c>
      <c r="B117" t="s">
        <v>8</v>
      </c>
      <c r="D117" t="s">
        <v>135</v>
      </c>
      <c r="F117">
        <v>37.734999999999999</v>
      </c>
      <c r="G117">
        <v>15.472</v>
      </c>
      <c r="H117">
        <v>18.574999999999999</v>
      </c>
      <c r="I117" s="2">
        <f t="shared" si="2"/>
        <v>2.0314939434724093</v>
      </c>
      <c r="J117" s="2">
        <f t="shared" si="3"/>
        <v>0.83294751009421264</v>
      </c>
      <c r="K117" t="s">
        <v>27</v>
      </c>
    </row>
    <row r="118" spans="1:11" x14ac:dyDescent="0.4">
      <c r="A118" t="s">
        <v>457</v>
      </c>
      <c r="B118" s="1" t="s">
        <v>8</v>
      </c>
      <c r="C118" s="1" t="s">
        <v>106</v>
      </c>
      <c r="D118" s="1" t="s">
        <v>136</v>
      </c>
      <c r="E118" s="1" t="s">
        <v>108</v>
      </c>
      <c r="F118" s="1">
        <v>38.851999999999997</v>
      </c>
      <c r="G118" s="1">
        <v>15.654999999999999</v>
      </c>
      <c r="H118" s="1">
        <v>19.312000000000001</v>
      </c>
      <c r="I118" s="2">
        <f t="shared" si="2"/>
        <v>2.0118061309030653</v>
      </c>
      <c r="J118" s="2">
        <f t="shared" si="3"/>
        <v>0.81063587406793691</v>
      </c>
      <c r="K118" s="1" t="s">
        <v>519</v>
      </c>
    </row>
    <row r="119" spans="1:11" x14ac:dyDescent="0.4">
      <c r="A119" t="s">
        <v>457</v>
      </c>
      <c r="B119" s="1" t="s">
        <v>8</v>
      </c>
      <c r="C119" s="1" t="s">
        <v>106</v>
      </c>
      <c r="D119" s="1" t="s">
        <v>137</v>
      </c>
      <c r="E119" s="1" t="s">
        <v>108</v>
      </c>
      <c r="F119" s="1">
        <v>38.728000000000002</v>
      </c>
      <c r="G119" s="1">
        <v>15.715999999999999</v>
      </c>
      <c r="H119" s="1">
        <v>19.841000000000001</v>
      </c>
      <c r="I119" s="2">
        <f t="shared" si="2"/>
        <v>1.9519177460813466</v>
      </c>
      <c r="J119" s="2">
        <f t="shared" si="3"/>
        <v>0.79209717252154621</v>
      </c>
      <c r="K119" s="1" t="s">
        <v>520</v>
      </c>
    </row>
    <row r="120" spans="1:11" x14ac:dyDescent="0.4">
      <c r="A120" t="s">
        <v>457</v>
      </c>
      <c r="B120" s="1" t="s">
        <v>8</v>
      </c>
      <c r="C120" s="1" t="s">
        <v>106</v>
      </c>
      <c r="D120" s="1" t="s">
        <v>138</v>
      </c>
      <c r="E120" s="1" t="s">
        <v>108</v>
      </c>
      <c r="F120" s="1">
        <v>39.868000000000002</v>
      </c>
      <c r="G120" s="1">
        <v>15.686</v>
      </c>
      <c r="H120" s="1">
        <v>19.907</v>
      </c>
      <c r="I120" s="2">
        <f t="shared" si="2"/>
        <v>2.0027126136534887</v>
      </c>
      <c r="J120" s="2">
        <f t="shared" si="3"/>
        <v>0.7879640327522982</v>
      </c>
      <c r="K120" s="1" t="s">
        <v>521</v>
      </c>
    </row>
    <row r="121" spans="1:11" x14ac:dyDescent="0.4">
      <c r="A121" t="s">
        <v>458</v>
      </c>
      <c r="B121" s="1" t="s">
        <v>139</v>
      </c>
      <c r="C121" s="1" t="s">
        <v>140</v>
      </c>
      <c r="D121" s="1" t="s">
        <v>141</v>
      </c>
      <c r="E121" s="1" t="s">
        <v>142</v>
      </c>
      <c r="F121" s="1">
        <v>37.601999999999997</v>
      </c>
      <c r="G121" s="1">
        <v>15.436299999999999</v>
      </c>
      <c r="H121" s="1">
        <v>17.2715</v>
      </c>
      <c r="I121" s="2">
        <f t="shared" si="2"/>
        <v>2.1771125843152013</v>
      </c>
      <c r="J121" s="2">
        <f t="shared" si="3"/>
        <v>0.89374402918102069</v>
      </c>
      <c r="K121" s="1" t="s">
        <v>522</v>
      </c>
    </row>
    <row r="122" spans="1:11" x14ac:dyDescent="0.4">
      <c r="A122" t="s">
        <v>458</v>
      </c>
      <c r="B122" s="1" t="s">
        <v>139</v>
      </c>
      <c r="C122"/>
      <c r="D122" t="s">
        <v>143</v>
      </c>
      <c r="E122" t="s">
        <v>144</v>
      </c>
      <c r="F122">
        <v>37.723999999999997</v>
      </c>
      <c r="G122">
        <v>15.417</v>
      </c>
      <c r="H122">
        <v>17.283999999999999</v>
      </c>
      <c r="I122" s="2">
        <f t="shared" si="2"/>
        <v>2.182596621152511</v>
      </c>
      <c r="J122" s="2">
        <f t="shared" si="3"/>
        <v>0.89198102291136316</v>
      </c>
      <c r="K122" t="s">
        <v>145</v>
      </c>
    </row>
    <row r="123" spans="1:11" x14ac:dyDescent="0.4">
      <c r="A123" t="s">
        <v>458</v>
      </c>
      <c r="B123" s="1" t="s">
        <v>139</v>
      </c>
      <c r="C123" s="1" t="s">
        <v>140</v>
      </c>
      <c r="D123" s="1" t="s">
        <v>146</v>
      </c>
      <c r="E123" s="1" t="s">
        <v>147</v>
      </c>
      <c r="F123" s="1">
        <v>37.544600000000003</v>
      </c>
      <c r="G123" s="1">
        <v>15.4445</v>
      </c>
      <c r="H123" s="1">
        <v>17.321999999999999</v>
      </c>
      <c r="I123" s="2">
        <f t="shared" si="2"/>
        <v>2.1674517954046881</v>
      </c>
      <c r="J123" s="2">
        <f t="shared" si="3"/>
        <v>0.89161182311511378</v>
      </c>
      <c r="K123" s="1" t="s">
        <v>523</v>
      </c>
    </row>
    <row r="124" spans="1:11" x14ac:dyDescent="0.4">
      <c r="A124" t="s">
        <v>458</v>
      </c>
      <c r="B124" s="1" t="s">
        <v>139</v>
      </c>
      <c r="D124" s="1" t="s">
        <v>12</v>
      </c>
      <c r="E124" t="s">
        <v>148</v>
      </c>
      <c r="F124">
        <v>37.707999999999998</v>
      </c>
      <c r="G124">
        <v>15.412000000000001</v>
      </c>
      <c r="H124">
        <v>17.341999999999999</v>
      </c>
      <c r="I124" s="2">
        <f t="shared" si="2"/>
        <v>2.1743743512858957</v>
      </c>
      <c r="J124" s="2">
        <f t="shared" si="3"/>
        <v>0.88870949140814215</v>
      </c>
      <c r="K124" t="s">
        <v>145</v>
      </c>
    </row>
    <row r="125" spans="1:11" x14ac:dyDescent="0.4">
      <c r="A125" t="s">
        <v>458</v>
      </c>
      <c r="B125" s="1" t="s">
        <v>139</v>
      </c>
      <c r="C125"/>
      <c r="D125" t="s">
        <v>149</v>
      </c>
      <c r="E125" t="s">
        <v>150</v>
      </c>
      <c r="F125">
        <v>36.548000000000002</v>
      </c>
      <c r="G125">
        <v>15.122</v>
      </c>
      <c r="H125">
        <v>17.052</v>
      </c>
      <c r="I125" s="2">
        <f t="shared" si="2"/>
        <v>2.1433262960356556</v>
      </c>
      <c r="J125" s="2">
        <f t="shared" si="3"/>
        <v>0.88681679568379079</v>
      </c>
      <c r="K125" t="s">
        <v>145</v>
      </c>
    </row>
    <row r="126" spans="1:11" x14ac:dyDescent="0.4">
      <c r="A126" t="s">
        <v>458</v>
      </c>
      <c r="B126" s="1" t="s">
        <v>139</v>
      </c>
      <c r="D126" s="1" t="s">
        <v>37</v>
      </c>
      <c r="E126" s="1" t="s">
        <v>151</v>
      </c>
      <c r="F126" s="1">
        <v>37.536999999999999</v>
      </c>
      <c r="G126" s="1">
        <v>15.41</v>
      </c>
      <c r="H126" s="1">
        <v>17.390999999999998</v>
      </c>
      <c r="I126" s="2">
        <f t="shared" si="2"/>
        <v>2.1584152722672649</v>
      </c>
      <c r="J126" s="2">
        <f t="shared" si="3"/>
        <v>0.88609050658386534</v>
      </c>
      <c r="K126" s="1" t="s">
        <v>152</v>
      </c>
    </row>
    <row r="127" spans="1:11" x14ac:dyDescent="0.4">
      <c r="A127" t="s">
        <v>458</v>
      </c>
      <c r="B127" s="1" t="s">
        <v>139</v>
      </c>
      <c r="D127" s="1" t="s">
        <v>153</v>
      </c>
      <c r="E127" t="s">
        <v>148</v>
      </c>
      <c r="F127">
        <v>37.537999999999997</v>
      </c>
      <c r="G127">
        <v>15.420999999999999</v>
      </c>
      <c r="H127">
        <v>17.404</v>
      </c>
      <c r="I127" s="2">
        <f t="shared" si="2"/>
        <v>2.156860491840956</v>
      </c>
      <c r="J127" s="2">
        <f t="shared" si="3"/>
        <v>0.88606067570673408</v>
      </c>
      <c r="K127" t="s">
        <v>145</v>
      </c>
    </row>
    <row r="128" spans="1:11" x14ac:dyDescent="0.4">
      <c r="A128" t="s">
        <v>458</v>
      </c>
      <c r="B128" s="1" t="s">
        <v>139</v>
      </c>
      <c r="C128" s="1" t="s">
        <v>154</v>
      </c>
      <c r="D128" s="1" t="s">
        <v>155</v>
      </c>
      <c r="E128" s="1" t="s">
        <v>156</v>
      </c>
      <c r="F128" s="1">
        <v>38.014000000000003</v>
      </c>
      <c r="G128" s="1">
        <v>15.525</v>
      </c>
      <c r="H128" s="1">
        <v>17.523</v>
      </c>
      <c r="I128" s="2">
        <f t="shared" si="2"/>
        <v>2.1693773897163728</v>
      </c>
      <c r="J128" s="2">
        <f t="shared" si="3"/>
        <v>0.88597842835130969</v>
      </c>
      <c r="K128" s="1" t="s">
        <v>524</v>
      </c>
    </row>
    <row r="129" spans="1:11" x14ac:dyDescent="0.4">
      <c r="A129" t="s">
        <v>458</v>
      </c>
      <c r="B129" s="1" t="s">
        <v>139</v>
      </c>
      <c r="D129" s="1" t="s">
        <v>157</v>
      </c>
      <c r="E129" t="s">
        <v>148</v>
      </c>
      <c r="F129">
        <v>36.917999999999999</v>
      </c>
      <c r="G129">
        <v>15.194000000000001</v>
      </c>
      <c r="H129">
        <v>17.152000000000001</v>
      </c>
      <c r="I129" s="2">
        <f t="shared" si="2"/>
        <v>2.1524020522388057</v>
      </c>
      <c r="J129" s="2">
        <f t="shared" si="3"/>
        <v>0.88584421641791045</v>
      </c>
      <c r="K129" t="s">
        <v>145</v>
      </c>
    </row>
    <row r="130" spans="1:11" x14ac:dyDescent="0.4">
      <c r="A130" t="s">
        <v>458</v>
      </c>
      <c r="B130" s="1" t="s">
        <v>139</v>
      </c>
      <c r="D130" s="1" t="s">
        <v>10</v>
      </c>
      <c r="E130" t="s">
        <v>148</v>
      </c>
      <c r="F130">
        <v>37.4</v>
      </c>
      <c r="G130">
        <v>15.409000000000001</v>
      </c>
      <c r="H130">
        <v>17.396000000000001</v>
      </c>
      <c r="I130" s="2">
        <f t="shared" ref="I130:I193" si="4">F130/H130</f>
        <v>2.1499195217291329</v>
      </c>
      <c r="J130" s="2">
        <f t="shared" ref="J130:J193" si="5">G130/H130</f>
        <v>0.88577833984824095</v>
      </c>
      <c r="K130" t="s">
        <v>145</v>
      </c>
    </row>
    <row r="131" spans="1:11" x14ac:dyDescent="0.4">
      <c r="A131" t="s">
        <v>458</v>
      </c>
      <c r="B131" s="1" t="s">
        <v>139</v>
      </c>
      <c r="D131" s="1" t="s">
        <v>20</v>
      </c>
      <c r="E131" t="s">
        <v>148</v>
      </c>
      <c r="F131">
        <v>37.515000000000001</v>
      </c>
      <c r="G131">
        <v>15.409000000000001</v>
      </c>
      <c r="H131">
        <v>17.399999999999999</v>
      </c>
      <c r="I131" s="2">
        <f t="shared" si="4"/>
        <v>2.1560344827586211</v>
      </c>
      <c r="J131" s="2">
        <f t="shared" si="5"/>
        <v>0.88557471264367826</v>
      </c>
      <c r="K131" t="s">
        <v>145</v>
      </c>
    </row>
    <row r="132" spans="1:11" x14ac:dyDescent="0.4">
      <c r="A132" t="s">
        <v>458</v>
      </c>
      <c r="B132" s="1" t="s">
        <v>139</v>
      </c>
      <c r="D132" s="1" t="s">
        <v>18</v>
      </c>
      <c r="E132" t="s">
        <v>148</v>
      </c>
      <c r="F132">
        <v>37.408999999999999</v>
      </c>
      <c r="G132">
        <v>15.401</v>
      </c>
      <c r="H132">
        <v>17.391999999999999</v>
      </c>
      <c r="I132" s="2">
        <f t="shared" si="4"/>
        <v>2.1509314627414904</v>
      </c>
      <c r="J132" s="2">
        <f t="shared" si="5"/>
        <v>0.88552207911683534</v>
      </c>
      <c r="K132" t="s">
        <v>145</v>
      </c>
    </row>
    <row r="133" spans="1:11" x14ac:dyDescent="0.4">
      <c r="A133" t="s">
        <v>458</v>
      </c>
      <c r="B133" s="1" t="s">
        <v>139</v>
      </c>
      <c r="D133" s="1" t="s">
        <v>25</v>
      </c>
      <c r="E133" t="s">
        <v>148</v>
      </c>
      <c r="F133">
        <v>37.500999999999998</v>
      </c>
      <c r="G133">
        <v>15.427</v>
      </c>
      <c r="H133">
        <v>17.428000000000001</v>
      </c>
      <c r="I133" s="2">
        <f t="shared" si="4"/>
        <v>2.1517672710580671</v>
      </c>
      <c r="J133" s="2">
        <f t="shared" si="5"/>
        <v>0.88518476015607062</v>
      </c>
      <c r="K133" t="s">
        <v>145</v>
      </c>
    </row>
    <row r="134" spans="1:11" x14ac:dyDescent="0.4">
      <c r="A134" t="s">
        <v>458</v>
      </c>
      <c r="B134" s="1" t="s">
        <v>139</v>
      </c>
      <c r="D134" s="1" t="s">
        <v>19</v>
      </c>
      <c r="E134" t="s">
        <v>148</v>
      </c>
      <c r="F134">
        <v>37.521999999999998</v>
      </c>
      <c r="G134">
        <v>15.417</v>
      </c>
      <c r="H134">
        <v>17.419</v>
      </c>
      <c r="I134" s="2">
        <f t="shared" si="4"/>
        <v>2.1540846202422639</v>
      </c>
      <c r="J134" s="2">
        <f t="shared" si="5"/>
        <v>0.88506802916355698</v>
      </c>
      <c r="K134" t="s">
        <v>145</v>
      </c>
    </row>
    <row r="135" spans="1:11" x14ac:dyDescent="0.4">
      <c r="A135" t="s">
        <v>458</v>
      </c>
      <c r="B135" s="1" t="s">
        <v>139</v>
      </c>
      <c r="D135" s="1" t="s">
        <v>15</v>
      </c>
      <c r="E135" s="1" t="s">
        <v>158</v>
      </c>
      <c r="F135" s="1">
        <v>37.487000000000002</v>
      </c>
      <c r="G135" s="1">
        <v>15.422000000000001</v>
      </c>
      <c r="H135" s="1">
        <v>17.425999999999998</v>
      </c>
      <c r="I135" s="2">
        <f t="shared" si="4"/>
        <v>2.1512108343854015</v>
      </c>
      <c r="J135" s="2">
        <f t="shared" si="5"/>
        <v>0.88499942614484117</v>
      </c>
      <c r="K135" s="1" t="s">
        <v>145</v>
      </c>
    </row>
    <row r="136" spans="1:11" x14ac:dyDescent="0.4">
      <c r="A136" t="s">
        <v>458</v>
      </c>
      <c r="B136" s="1" t="s">
        <v>139</v>
      </c>
      <c r="D136" s="1" t="s">
        <v>13</v>
      </c>
      <c r="E136" s="1" t="s">
        <v>148</v>
      </c>
      <c r="F136" s="1">
        <v>37.359000000000002</v>
      </c>
      <c r="G136" s="1">
        <v>15.382</v>
      </c>
      <c r="H136" s="1">
        <v>17.385999999999999</v>
      </c>
      <c r="I136" s="2">
        <f t="shared" si="4"/>
        <v>2.1487978833544235</v>
      </c>
      <c r="J136" s="2">
        <f t="shared" si="5"/>
        <v>0.88473484412745884</v>
      </c>
      <c r="K136" s="1" t="s">
        <v>145</v>
      </c>
    </row>
    <row r="137" spans="1:11" x14ac:dyDescent="0.4">
      <c r="A137" t="s">
        <v>458</v>
      </c>
      <c r="B137" s="1" t="s">
        <v>139</v>
      </c>
      <c r="D137" s="1" t="s">
        <v>14</v>
      </c>
      <c r="E137" t="s">
        <v>148</v>
      </c>
      <c r="F137">
        <v>37.369</v>
      </c>
      <c r="G137">
        <v>15.385999999999999</v>
      </c>
      <c r="H137">
        <v>17.391999999999999</v>
      </c>
      <c r="I137" s="2">
        <f t="shared" si="4"/>
        <v>2.1486315547378108</v>
      </c>
      <c r="J137" s="2">
        <f t="shared" si="5"/>
        <v>0.88465961361545542</v>
      </c>
      <c r="K137" t="s">
        <v>145</v>
      </c>
    </row>
    <row r="138" spans="1:11" x14ac:dyDescent="0.4">
      <c r="A138" t="s">
        <v>458</v>
      </c>
      <c r="B138" s="1" t="s">
        <v>139</v>
      </c>
      <c r="C138"/>
      <c r="D138" t="s">
        <v>159</v>
      </c>
      <c r="E138" t="s">
        <v>150</v>
      </c>
      <c r="F138">
        <v>37.569000000000003</v>
      </c>
      <c r="G138">
        <v>15.393000000000001</v>
      </c>
      <c r="H138">
        <v>17.411999999999999</v>
      </c>
      <c r="I138" s="2">
        <f t="shared" si="4"/>
        <v>2.1576498966230191</v>
      </c>
      <c r="J138" s="2">
        <f t="shared" si="5"/>
        <v>0.88404548587181264</v>
      </c>
      <c r="K138" t="s">
        <v>145</v>
      </c>
    </row>
    <row r="139" spans="1:11" x14ac:dyDescent="0.4">
      <c r="A139" t="s">
        <v>458</v>
      </c>
      <c r="B139" s="1" t="s">
        <v>139</v>
      </c>
      <c r="C139" s="1" t="s">
        <v>140</v>
      </c>
      <c r="D139" s="1" t="s">
        <v>160</v>
      </c>
      <c r="E139" s="1" t="s">
        <v>161</v>
      </c>
      <c r="F139" s="1">
        <v>38.138399999999997</v>
      </c>
      <c r="G139" s="1">
        <v>15.4848</v>
      </c>
      <c r="H139" s="1">
        <v>17.521599999999999</v>
      </c>
      <c r="I139" s="2">
        <f t="shared" si="4"/>
        <v>2.17665053419779</v>
      </c>
      <c r="J139" s="2">
        <f t="shared" si="5"/>
        <v>0.8837549082275592</v>
      </c>
      <c r="K139" s="1" t="s">
        <v>462</v>
      </c>
    </row>
    <row r="140" spans="1:11" x14ac:dyDescent="0.4">
      <c r="A140" t="s">
        <v>458</v>
      </c>
      <c r="B140" s="1" t="s">
        <v>139</v>
      </c>
      <c r="D140" s="1" t="s">
        <v>22</v>
      </c>
      <c r="E140" t="s">
        <v>148</v>
      </c>
      <c r="F140">
        <v>37.18</v>
      </c>
      <c r="G140">
        <v>15.3</v>
      </c>
      <c r="H140">
        <v>17.327999999999999</v>
      </c>
      <c r="I140" s="2">
        <f t="shared" si="4"/>
        <v>2.1456602031394274</v>
      </c>
      <c r="J140" s="2">
        <f t="shared" si="5"/>
        <v>0.88296398891966765</v>
      </c>
      <c r="K140" t="s">
        <v>145</v>
      </c>
    </row>
    <row r="141" spans="1:11" x14ac:dyDescent="0.4">
      <c r="A141" t="s">
        <v>458</v>
      </c>
      <c r="B141" t="s">
        <v>139</v>
      </c>
      <c r="C141" t="s">
        <v>162</v>
      </c>
      <c r="D141" t="s">
        <v>163</v>
      </c>
      <c r="E141" t="s">
        <v>162</v>
      </c>
      <c r="F141">
        <v>38.07</v>
      </c>
      <c r="G141">
        <v>15.54</v>
      </c>
      <c r="H141">
        <v>17.62</v>
      </c>
      <c r="I141" s="2">
        <f t="shared" si="4"/>
        <v>2.1606129398410894</v>
      </c>
      <c r="J141" s="2">
        <f t="shared" si="5"/>
        <v>0.88195232690124847</v>
      </c>
      <c r="K141" s="1" t="s">
        <v>164</v>
      </c>
    </row>
    <row r="142" spans="1:11" x14ac:dyDescent="0.4">
      <c r="A142" t="s">
        <v>458</v>
      </c>
      <c r="B142" s="1" t="s">
        <v>139</v>
      </c>
      <c r="D142" s="1" t="s">
        <v>165</v>
      </c>
      <c r="E142" t="s">
        <v>148</v>
      </c>
      <c r="F142">
        <v>37.527000000000001</v>
      </c>
      <c r="G142">
        <v>15.404</v>
      </c>
      <c r="H142">
        <v>17.466999999999999</v>
      </c>
      <c r="I142" s="2">
        <f t="shared" si="4"/>
        <v>2.1484513654319577</v>
      </c>
      <c r="J142" s="2">
        <f t="shared" si="5"/>
        <v>0.88189156695482918</v>
      </c>
      <c r="K142" t="s">
        <v>145</v>
      </c>
    </row>
    <row r="143" spans="1:11" x14ac:dyDescent="0.4">
      <c r="A143" t="s">
        <v>458</v>
      </c>
      <c r="B143" s="1" t="s">
        <v>139</v>
      </c>
      <c r="C143"/>
      <c r="D143" t="s">
        <v>166</v>
      </c>
      <c r="E143" t="s">
        <v>167</v>
      </c>
      <c r="F143">
        <v>37.68</v>
      </c>
      <c r="G143">
        <v>15.438000000000001</v>
      </c>
      <c r="H143">
        <v>17.536000000000001</v>
      </c>
      <c r="I143" s="2">
        <f t="shared" si="4"/>
        <v>2.148722627737226</v>
      </c>
      <c r="J143" s="2">
        <f t="shared" si="5"/>
        <v>0.88036040145985395</v>
      </c>
      <c r="K143" t="s">
        <v>145</v>
      </c>
    </row>
    <row r="144" spans="1:11" x14ac:dyDescent="0.4">
      <c r="A144" t="s">
        <v>458</v>
      </c>
      <c r="B144" t="s">
        <v>139</v>
      </c>
      <c r="C144" t="s">
        <v>162</v>
      </c>
      <c r="D144" t="s">
        <v>24</v>
      </c>
      <c r="E144" t="s">
        <v>162</v>
      </c>
      <c r="F144">
        <v>38.04</v>
      </c>
      <c r="G144">
        <v>15.62</v>
      </c>
      <c r="H144">
        <v>17.79</v>
      </c>
      <c r="I144" s="2">
        <f t="shared" si="4"/>
        <v>2.1382799325463746</v>
      </c>
      <c r="J144" s="2">
        <f t="shared" si="5"/>
        <v>0.87802136031478362</v>
      </c>
      <c r="K144" s="1" t="s">
        <v>168</v>
      </c>
    </row>
    <row r="145" spans="1:11" x14ac:dyDescent="0.4">
      <c r="A145" t="s">
        <v>458</v>
      </c>
      <c r="B145" s="1" t="s">
        <v>139</v>
      </c>
      <c r="C145" s="1" t="s">
        <v>154</v>
      </c>
      <c r="D145" s="1" t="s">
        <v>169</v>
      </c>
      <c r="E145" s="1" t="s">
        <v>156</v>
      </c>
      <c r="F145" s="1">
        <v>38.96</v>
      </c>
      <c r="G145" s="1">
        <v>15.872999999999999</v>
      </c>
      <c r="H145" s="1">
        <v>18.097000000000001</v>
      </c>
      <c r="I145" s="2">
        <f t="shared" si="4"/>
        <v>2.152843012654031</v>
      </c>
      <c r="J145" s="2">
        <f t="shared" si="5"/>
        <v>0.87710670276841451</v>
      </c>
      <c r="K145" s="1" t="s">
        <v>463</v>
      </c>
    </row>
    <row r="146" spans="1:11" x14ac:dyDescent="0.4">
      <c r="A146" t="s">
        <v>458</v>
      </c>
      <c r="B146" s="1" t="s">
        <v>139</v>
      </c>
      <c r="C146" s="1" t="s">
        <v>154</v>
      </c>
      <c r="D146" s="1" t="s">
        <v>170</v>
      </c>
      <c r="E146" s="1" t="s">
        <v>156</v>
      </c>
      <c r="F146" s="1">
        <v>38.276000000000003</v>
      </c>
      <c r="G146" s="1">
        <v>15.561</v>
      </c>
      <c r="H146" s="1">
        <v>17.809999999999999</v>
      </c>
      <c r="I146" s="2">
        <f t="shared" si="4"/>
        <v>2.1491297024143745</v>
      </c>
      <c r="J146" s="2">
        <f t="shared" si="5"/>
        <v>0.87372262773722631</v>
      </c>
      <c r="K146" s="1" t="s">
        <v>464</v>
      </c>
    </row>
    <row r="147" spans="1:11" x14ac:dyDescent="0.4">
      <c r="A147" t="s">
        <v>458</v>
      </c>
      <c r="B147" s="1" t="s">
        <v>139</v>
      </c>
      <c r="C147" s="1" t="s">
        <v>154</v>
      </c>
      <c r="D147" s="1" t="s">
        <v>171</v>
      </c>
      <c r="E147" s="1" t="s">
        <v>156</v>
      </c>
      <c r="F147" s="1">
        <v>38.231999999999999</v>
      </c>
      <c r="G147" s="1">
        <v>15.55</v>
      </c>
      <c r="H147" s="1">
        <v>17.821999999999999</v>
      </c>
      <c r="I147" s="2">
        <f t="shared" si="4"/>
        <v>2.1452137807204581</v>
      </c>
      <c r="J147" s="2">
        <f t="shared" si="5"/>
        <v>0.87251711367972173</v>
      </c>
      <c r="K147" s="1" t="s">
        <v>465</v>
      </c>
    </row>
    <row r="148" spans="1:11" x14ac:dyDescent="0.4">
      <c r="A148" t="s">
        <v>458</v>
      </c>
      <c r="B148" s="1" t="s">
        <v>139</v>
      </c>
      <c r="C148" s="1" t="s">
        <v>154</v>
      </c>
      <c r="D148" s="1" t="s">
        <v>172</v>
      </c>
      <c r="E148" s="1" t="s">
        <v>156</v>
      </c>
      <c r="F148" s="1">
        <v>38.314</v>
      </c>
      <c r="G148" s="1">
        <v>15.57</v>
      </c>
      <c r="H148" s="1">
        <v>17.86</v>
      </c>
      <c r="I148" s="2">
        <f t="shared" si="4"/>
        <v>2.1452407614781634</v>
      </c>
      <c r="J148" s="2">
        <f t="shared" si="5"/>
        <v>0.87178051511758126</v>
      </c>
      <c r="K148" s="1" t="s">
        <v>466</v>
      </c>
    </row>
    <row r="149" spans="1:11" x14ac:dyDescent="0.4">
      <c r="A149" t="s">
        <v>458</v>
      </c>
      <c r="B149" s="1" t="s">
        <v>139</v>
      </c>
      <c r="C149" s="1" t="s">
        <v>154</v>
      </c>
      <c r="D149" s="1" t="s">
        <v>173</v>
      </c>
      <c r="E149" s="1" t="s">
        <v>156</v>
      </c>
      <c r="F149" s="1">
        <v>38.307000000000002</v>
      </c>
      <c r="G149" s="1">
        <v>15.569000000000001</v>
      </c>
      <c r="H149" s="1">
        <v>17.859000000000002</v>
      </c>
      <c r="I149" s="2">
        <f t="shared" si="4"/>
        <v>2.1449689232319837</v>
      </c>
      <c r="J149" s="2">
        <f t="shared" si="5"/>
        <v>0.87177333557310033</v>
      </c>
      <c r="K149" s="1" t="s">
        <v>467</v>
      </c>
    </row>
    <row r="150" spans="1:11" x14ac:dyDescent="0.4">
      <c r="A150" t="s">
        <v>458</v>
      </c>
      <c r="B150" s="1" t="s">
        <v>139</v>
      </c>
      <c r="C150" s="1" t="s">
        <v>154</v>
      </c>
      <c r="D150" s="1" t="s">
        <v>174</v>
      </c>
      <c r="E150" s="1" t="s">
        <v>156</v>
      </c>
      <c r="F150" s="1">
        <v>38.198999999999998</v>
      </c>
      <c r="G150" s="1">
        <v>15.526</v>
      </c>
      <c r="H150" s="1">
        <v>17.824999999999999</v>
      </c>
      <c r="I150" s="2">
        <f t="shared" si="4"/>
        <v>2.1430014025245443</v>
      </c>
      <c r="J150" s="2">
        <f t="shared" si="5"/>
        <v>0.8710238429172511</v>
      </c>
      <c r="K150" s="1" t="s">
        <v>468</v>
      </c>
    </row>
    <row r="151" spans="1:11" x14ac:dyDescent="0.4">
      <c r="A151" t="s">
        <v>458</v>
      </c>
      <c r="B151" s="1" t="s">
        <v>139</v>
      </c>
      <c r="C151" s="1" t="s">
        <v>154</v>
      </c>
      <c r="D151" s="1" t="s">
        <v>175</v>
      </c>
      <c r="E151" s="1" t="s">
        <v>156</v>
      </c>
      <c r="F151" s="1">
        <v>38.322000000000003</v>
      </c>
      <c r="G151" s="1">
        <v>15.571</v>
      </c>
      <c r="H151" s="1">
        <v>17.885999999999999</v>
      </c>
      <c r="I151" s="2">
        <f t="shared" si="4"/>
        <v>2.1425696075142571</v>
      </c>
      <c r="J151" s="2">
        <f t="shared" si="5"/>
        <v>0.87056916023705699</v>
      </c>
      <c r="K151" s="1" t="s">
        <v>469</v>
      </c>
    </row>
    <row r="152" spans="1:11" x14ac:dyDescent="0.4">
      <c r="A152" t="s">
        <v>458</v>
      </c>
      <c r="B152" t="s">
        <v>139</v>
      </c>
      <c r="C152" t="s">
        <v>162</v>
      </c>
      <c r="D152" t="s">
        <v>176</v>
      </c>
      <c r="E152" t="s">
        <v>162</v>
      </c>
      <c r="F152">
        <v>37.869999999999997</v>
      </c>
      <c r="G152">
        <v>15.62</v>
      </c>
      <c r="H152">
        <v>17.95</v>
      </c>
      <c r="I152" s="2">
        <f t="shared" si="4"/>
        <v>2.1097493036211699</v>
      </c>
      <c r="J152" s="2">
        <f t="shared" si="5"/>
        <v>0.8701949860724234</v>
      </c>
      <c r="K152" s="1" t="s">
        <v>177</v>
      </c>
    </row>
    <row r="153" spans="1:11" x14ac:dyDescent="0.4">
      <c r="A153" t="s">
        <v>458</v>
      </c>
      <c r="B153" s="1" t="s">
        <v>139</v>
      </c>
      <c r="C153" s="1" t="s">
        <v>154</v>
      </c>
      <c r="D153" s="1" t="s">
        <v>178</v>
      </c>
      <c r="E153" s="1" t="s">
        <v>156</v>
      </c>
      <c r="F153" s="1">
        <v>38.296999999999997</v>
      </c>
      <c r="G153" s="1">
        <v>15.561999999999999</v>
      </c>
      <c r="H153" s="1">
        <v>17.893999999999998</v>
      </c>
      <c r="I153" s="2">
        <f t="shared" si="4"/>
        <v>2.140214597071644</v>
      </c>
      <c r="J153" s="2">
        <f t="shared" si="5"/>
        <v>0.86967698669945237</v>
      </c>
      <c r="K153" s="1" t="s">
        <v>470</v>
      </c>
    </row>
    <row r="154" spans="1:11" x14ac:dyDescent="0.4">
      <c r="A154" t="s">
        <v>458</v>
      </c>
      <c r="B154" s="1" t="s">
        <v>139</v>
      </c>
      <c r="C154" s="1" t="s">
        <v>154</v>
      </c>
      <c r="D154" s="1" t="s">
        <v>179</v>
      </c>
      <c r="E154" s="1" t="s">
        <v>156</v>
      </c>
      <c r="F154" s="1">
        <v>38.835000000000001</v>
      </c>
      <c r="G154" s="1">
        <v>15.776999999999999</v>
      </c>
      <c r="H154" s="1">
        <v>18.146000000000001</v>
      </c>
      <c r="I154" s="2">
        <f t="shared" si="4"/>
        <v>2.1401410779235093</v>
      </c>
      <c r="J154" s="2">
        <f t="shared" si="5"/>
        <v>0.86944781219001421</v>
      </c>
      <c r="K154" s="1" t="s">
        <v>465</v>
      </c>
    </row>
    <row r="155" spans="1:11" x14ac:dyDescent="0.4">
      <c r="A155" t="s">
        <v>458</v>
      </c>
      <c r="B155" t="s">
        <v>139</v>
      </c>
      <c r="C155" t="s">
        <v>162</v>
      </c>
      <c r="D155" t="s">
        <v>180</v>
      </c>
      <c r="E155" t="s">
        <v>162</v>
      </c>
      <c r="F155">
        <v>38.35</v>
      </c>
      <c r="G155">
        <v>15.63</v>
      </c>
      <c r="H155">
        <v>18.02</v>
      </c>
      <c r="I155" s="2">
        <f t="shared" si="4"/>
        <v>2.12819089900111</v>
      </c>
      <c r="J155" s="2">
        <f t="shared" si="5"/>
        <v>0.86736958934517205</v>
      </c>
      <c r="K155" s="1" t="s">
        <v>181</v>
      </c>
    </row>
    <row r="156" spans="1:11" x14ac:dyDescent="0.4">
      <c r="A156" t="s">
        <v>458</v>
      </c>
      <c r="B156" t="s">
        <v>139</v>
      </c>
      <c r="C156" t="s">
        <v>162</v>
      </c>
      <c r="D156" t="s">
        <v>182</v>
      </c>
      <c r="E156" t="s">
        <v>162</v>
      </c>
      <c r="F156">
        <v>37.57</v>
      </c>
      <c r="G156">
        <v>15.49</v>
      </c>
      <c r="H156">
        <v>17.88</v>
      </c>
      <c r="I156" s="2">
        <f t="shared" si="4"/>
        <v>2.1012304250559284</v>
      </c>
      <c r="J156" s="2">
        <f t="shared" si="5"/>
        <v>0.8663310961968681</v>
      </c>
      <c r="K156" s="1" t="s">
        <v>183</v>
      </c>
    </row>
    <row r="157" spans="1:11" x14ac:dyDescent="0.4">
      <c r="A157" t="s">
        <v>458</v>
      </c>
      <c r="B157" s="1" t="s">
        <v>139</v>
      </c>
      <c r="C157" s="1" t="s">
        <v>140</v>
      </c>
      <c r="D157" s="1" t="s">
        <v>184</v>
      </c>
      <c r="E157" s="1" t="s">
        <v>185</v>
      </c>
      <c r="F157" s="1">
        <v>38.1449</v>
      </c>
      <c r="G157" s="1">
        <v>15.5098</v>
      </c>
      <c r="H157" s="1">
        <v>18.067299999999999</v>
      </c>
      <c r="I157" s="2">
        <f t="shared" si="4"/>
        <v>2.1112673171973677</v>
      </c>
      <c r="J157" s="2">
        <f t="shared" si="5"/>
        <v>0.85844592163743338</v>
      </c>
      <c r="K157" s="1" t="s">
        <v>471</v>
      </c>
    </row>
    <row r="158" spans="1:11" x14ac:dyDescent="0.4">
      <c r="A158" t="s">
        <v>458</v>
      </c>
      <c r="B158" s="1" t="s">
        <v>139</v>
      </c>
      <c r="C158" s="1" t="s">
        <v>140</v>
      </c>
      <c r="D158" s="1" t="s">
        <v>186</v>
      </c>
      <c r="E158" s="1" t="s">
        <v>147</v>
      </c>
      <c r="F158" s="1">
        <v>39.178199999999997</v>
      </c>
      <c r="G158" s="1">
        <v>15.6136</v>
      </c>
      <c r="H158" s="1">
        <v>18.189</v>
      </c>
      <c r="I158" s="2">
        <f t="shared" si="4"/>
        <v>2.1539501896750783</v>
      </c>
      <c r="J158" s="2">
        <f t="shared" si="5"/>
        <v>0.85840892847325301</v>
      </c>
      <c r="K158" s="1" t="s">
        <v>472</v>
      </c>
    </row>
    <row r="159" spans="1:11" x14ac:dyDescent="0.4">
      <c r="A159" t="s">
        <v>458</v>
      </c>
      <c r="B159" s="1" t="s">
        <v>139</v>
      </c>
      <c r="C159" s="1" t="s">
        <v>140</v>
      </c>
      <c r="D159" s="1" t="s">
        <v>187</v>
      </c>
      <c r="E159" s="1" t="s">
        <v>147</v>
      </c>
      <c r="F159" s="1">
        <v>40.4788</v>
      </c>
      <c r="G159" s="1">
        <v>15.610099999999999</v>
      </c>
      <c r="H159" s="1">
        <v>18.239699999999999</v>
      </c>
      <c r="I159" s="2">
        <f t="shared" si="4"/>
        <v>2.2192689572745166</v>
      </c>
      <c r="J159" s="2">
        <f t="shared" si="5"/>
        <v>0.85583096213205256</v>
      </c>
      <c r="K159" s="1" t="s">
        <v>473</v>
      </c>
    </row>
    <row r="160" spans="1:11" x14ac:dyDescent="0.4">
      <c r="A160" t="s">
        <v>458</v>
      </c>
      <c r="B160" s="1" t="s">
        <v>139</v>
      </c>
      <c r="C160" s="1" t="s">
        <v>140</v>
      </c>
      <c r="D160" s="1" t="s">
        <v>188</v>
      </c>
      <c r="E160" s="1" t="s">
        <v>147</v>
      </c>
      <c r="F160" s="1">
        <v>39.309699999999999</v>
      </c>
      <c r="G160" s="1">
        <v>15.625400000000001</v>
      </c>
      <c r="H160" s="1">
        <v>18.271599999999999</v>
      </c>
      <c r="I160" s="2">
        <f t="shared" si="4"/>
        <v>2.1514098382188753</v>
      </c>
      <c r="J160" s="2">
        <f t="shared" si="5"/>
        <v>0.85517415004706765</v>
      </c>
      <c r="K160" s="1" t="s">
        <v>474</v>
      </c>
    </row>
    <row r="161" spans="1:11" x14ac:dyDescent="0.4">
      <c r="A161" t="s">
        <v>458</v>
      </c>
      <c r="B161" s="1" t="s">
        <v>139</v>
      </c>
      <c r="C161" s="1" t="s">
        <v>140</v>
      </c>
      <c r="D161" s="1" t="s">
        <v>189</v>
      </c>
      <c r="E161" s="1" t="s">
        <v>161</v>
      </c>
      <c r="F161" s="1">
        <v>39.049599999999998</v>
      </c>
      <c r="G161" s="1">
        <v>15.6236</v>
      </c>
      <c r="H161" s="1">
        <v>18.335799999999999</v>
      </c>
      <c r="I161" s="2">
        <f t="shared" si="4"/>
        <v>2.1296916414882361</v>
      </c>
      <c r="J161" s="2">
        <f t="shared" si="5"/>
        <v>0.85208171991404791</v>
      </c>
      <c r="K161" s="1" t="s">
        <v>475</v>
      </c>
    </row>
    <row r="162" spans="1:11" x14ac:dyDescent="0.4">
      <c r="A162" t="s">
        <v>458</v>
      </c>
      <c r="B162" s="1" t="s">
        <v>139</v>
      </c>
      <c r="C162" s="1" t="s">
        <v>140</v>
      </c>
      <c r="D162" s="1" t="s">
        <v>190</v>
      </c>
      <c r="E162" s="1" t="s">
        <v>147</v>
      </c>
      <c r="F162" s="1">
        <v>40.086300000000001</v>
      </c>
      <c r="G162" s="1">
        <v>15.632199999999999</v>
      </c>
      <c r="H162" s="1">
        <v>18.348099999999999</v>
      </c>
      <c r="I162" s="2">
        <f t="shared" si="4"/>
        <v>2.1847657250614509</v>
      </c>
      <c r="J162" s="2">
        <f t="shared" si="5"/>
        <v>0.85197922400684545</v>
      </c>
      <c r="K162" s="1" t="s">
        <v>476</v>
      </c>
    </row>
    <row r="163" spans="1:11" x14ac:dyDescent="0.4">
      <c r="A163" t="s">
        <v>458</v>
      </c>
      <c r="B163" s="1" t="s">
        <v>139</v>
      </c>
      <c r="C163" s="1" t="s">
        <v>140</v>
      </c>
      <c r="D163" s="1" t="s">
        <v>191</v>
      </c>
      <c r="E163" s="1" t="s">
        <v>147</v>
      </c>
      <c r="F163" s="1">
        <v>38.637300000000003</v>
      </c>
      <c r="G163" s="1">
        <v>15.763199999999999</v>
      </c>
      <c r="H163" s="1">
        <v>18.507400000000001</v>
      </c>
      <c r="I163" s="2">
        <f t="shared" si="4"/>
        <v>2.0876676356484434</v>
      </c>
      <c r="J163" s="2">
        <f t="shared" si="5"/>
        <v>0.85172417519478694</v>
      </c>
      <c r="K163" s="1" t="s">
        <v>477</v>
      </c>
    </row>
    <row r="164" spans="1:11" x14ac:dyDescent="0.4">
      <c r="A164" t="s">
        <v>458</v>
      </c>
      <c r="B164" s="1" t="s">
        <v>139</v>
      </c>
      <c r="C164" s="1" t="s">
        <v>140</v>
      </c>
      <c r="D164" s="1" t="s">
        <v>192</v>
      </c>
      <c r="E164" s="1" t="s">
        <v>147</v>
      </c>
      <c r="F164" s="1">
        <v>40.366999999999997</v>
      </c>
      <c r="G164" s="1">
        <v>15.619400000000001</v>
      </c>
      <c r="H164" s="1">
        <v>18.360600000000002</v>
      </c>
      <c r="I164" s="2">
        <f t="shared" si="4"/>
        <v>2.19856649564829</v>
      </c>
      <c r="J164" s="2">
        <f t="shared" si="5"/>
        <v>0.85070204677407057</v>
      </c>
      <c r="K164" s="1" t="s">
        <v>478</v>
      </c>
    </row>
    <row r="165" spans="1:11" x14ac:dyDescent="0.4">
      <c r="A165" t="s">
        <v>458</v>
      </c>
      <c r="B165" s="1" t="s">
        <v>139</v>
      </c>
      <c r="C165" s="1" t="s">
        <v>140</v>
      </c>
      <c r="D165" s="1" t="s">
        <v>193</v>
      </c>
      <c r="E165" s="1" t="s">
        <v>185</v>
      </c>
      <c r="F165" s="1">
        <v>38.667400000000001</v>
      </c>
      <c r="G165" s="1">
        <v>15.643700000000001</v>
      </c>
      <c r="H165" s="1">
        <v>18.4938</v>
      </c>
      <c r="I165" s="2">
        <f t="shared" si="4"/>
        <v>2.090830440471942</v>
      </c>
      <c r="J165" s="2">
        <f t="shared" si="5"/>
        <v>0.84588889249370058</v>
      </c>
      <c r="K165" s="1" t="s">
        <v>479</v>
      </c>
    </row>
    <row r="166" spans="1:11" x14ac:dyDescent="0.4">
      <c r="A166" t="s">
        <v>458</v>
      </c>
      <c r="B166" s="1" t="s">
        <v>139</v>
      </c>
      <c r="C166" s="1" t="s">
        <v>140</v>
      </c>
      <c r="D166" s="1" t="s">
        <v>194</v>
      </c>
      <c r="E166" s="1" t="s">
        <v>147</v>
      </c>
      <c r="F166" s="1">
        <v>39.681399999999996</v>
      </c>
      <c r="G166" s="1">
        <v>15.613799999999999</v>
      </c>
      <c r="H166" s="1">
        <v>18.592700000000001</v>
      </c>
      <c r="I166" s="2">
        <f t="shared" si="4"/>
        <v>2.1342462364261241</v>
      </c>
      <c r="J166" s="2">
        <f t="shared" si="5"/>
        <v>0.8397812044512093</v>
      </c>
      <c r="K166" s="1" t="s">
        <v>480</v>
      </c>
    </row>
    <row r="167" spans="1:11" x14ac:dyDescent="0.4">
      <c r="A167" t="s">
        <v>458</v>
      </c>
      <c r="B167" s="1" t="s">
        <v>139</v>
      </c>
      <c r="C167" s="1" t="s">
        <v>140</v>
      </c>
      <c r="D167" s="1" t="s">
        <v>195</v>
      </c>
      <c r="E167" s="1" t="s">
        <v>185</v>
      </c>
      <c r="F167" s="1">
        <v>38.429200000000002</v>
      </c>
      <c r="G167" s="1">
        <v>15.546099999999999</v>
      </c>
      <c r="H167" s="1">
        <v>18.697600000000001</v>
      </c>
      <c r="I167" s="2">
        <f t="shared" si="4"/>
        <v>2.0553012151292145</v>
      </c>
      <c r="J167" s="2">
        <f t="shared" si="5"/>
        <v>0.8314489560157452</v>
      </c>
      <c r="K167" s="1" t="s">
        <v>481</v>
      </c>
    </row>
    <row r="168" spans="1:11" x14ac:dyDescent="0.4">
      <c r="A168" t="s">
        <v>458</v>
      </c>
      <c r="B168" s="1" t="s">
        <v>139</v>
      </c>
      <c r="C168" s="1" t="s">
        <v>140</v>
      </c>
      <c r="D168" s="1" t="s">
        <v>196</v>
      </c>
      <c r="E168" s="1" t="s">
        <v>197</v>
      </c>
      <c r="F168" s="1">
        <v>38.821199999999997</v>
      </c>
      <c r="G168" s="1">
        <v>15.6791</v>
      </c>
      <c r="H168" s="1">
        <v>18.985299999999999</v>
      </c>
      <c r="I168" s="2">
        <f t="shared" si="4"/>
        <v>2.0448030844916856</v>
      </c>
      <c r="J168" s="2">
        <f t="shared" si="5"/>
        <v>0.82585474024640126</v>
      </c>
      <c r="K168" s="1" t="s">
        <v>482</v>
      </c>
    </row>
    <row r="169" spans="1:11" x14ac:dyDescent="0.4">
      <c r="A169" t="s">
        <v>458</v>
      </c>
      <c r="B169" s="1" t="s">
        <v>139</v>
      </c>
      <c r="C169" s="1" t="s">
        <v>140</v>
      </c>
      <c r="D169" s="1" t="s">
        <v>198</v>
      </c>
      <c r="E169" s="1" t="s">
        <v>185</v>
      </c>
      <c r="F169" s="1">
        <v>39.229100000000003</v>
      </c>
      <c r="G169" s="1">
        <v>15.689</v>
      </c>
      <c r="H169" s="1">
        <v>19.1418</v>
      </c>
      <c r="I169" s="2">
        <f t="shared" si="4"/>
        <v>2.0493945188017846</v>
      </c>
      <c r="J169" s="2">
        <f t="shared" si="5"/>
        <v>0.81961988945658193</v>
      </c>
      <c r="K169" s="1" t="s">
        <v>483</v>
      </c>
    </row>
    <row r="170" spans="1:11" x14ac:dyDescent="0.4">
      <c r="A170" t="s">
        <v>459</v>
      </c>
      <c r="B170" t="s">
        <v>199</v>
      </c>
      <c r="C170" t="s">
        <v>16</v>
      </c>
      <c r="D170" t="s">
        <v>200</v>
      </c>
      <c r="E170" t="s">
        <v>16</v>
      </c>
      <c r="F170">
        <v>36.844999999999999</v>
      </c>
      <c r="G170">
        <v>15.412000000000001</v>
      </c>
      <c r="H170">
        <v>16.844000000000001</v>
      </c>
      <c r="I170" s="2">
        <f t="shared" si="4"/>
        <v>2.1874257895986697</v>
      </c>
      <c r="J170" s="2">
        <f t="shared" si="5"/>
        <v>0.91498456423652341</v>
      </c>
      <c r="K170" t="s">
        <v>11</v>
      </c>
    </row>
    <row r="171" spans="1:11" x14ac:dyDescent="0.4">
      <c r="A171" t="s">
        <v>459</v>
      </c>
      <c r="B171" s="1" t="s">
        <v>199</v>
      </c>
      <c r="C171" s="1" t="s">
        <v>201</v>
      </c>
      <c r="D171" s="1" t="s">
        <v>202</v>
      </c>
      <c r="E171" s="1" t="s">
        <v>156</v>
      </c>
      <c r="F171" s="1">
        <v>37.981999999999999</v>
      </c>
      <c r="G171" s="1">
        <v>15.564</v>
      </c>
      <c r="H171" s="1">
        <v>17.198</v>
      </c>
      <c r="I171" s="2">
        <f t="shared" si="4"/>
        <v>2.2085126177462495</v>
      </c>
      <c r="J171" s="2">
        <f t="shared" si="5"/>
        <v>0.90498895220374465</v>
      </c>
      <c r="K171" s="1" t="s">
        <v>484</v>
      </c>
    </row>
    <row r="172" spans="1:11" x14ac:dyDescent="0.4">
      <c r="A172" t="s">
        <v>459</v>
      </c>
      <c r="B172" t="s">
        <v>199</v>
      </c>
      <c r="C172" t="s">
        <v>203</v>
      </c>
      <c r="D172" t="s">
        <v>204</v>
      </c>
      <c r="E172" t="s">
        <v>203</v>
      </c>
      <c r="F172">
        <v>37.534999999999997</v>
      </c>
      <c r="G172">
        <v>15.528</v>
      </c>
      <c r="H172">
        <v>17.416</v>
      </c>
      <c r="I172" s="2">
        <f t="shared" si="4"/>
        <v>2.1552021129995405</v>
      </c>
      <c r="J172" s="2">
        <f t="shared" si="5"/>
        <v>0.89159393661001374</v>
      </c>
      <c r="K172" t="s">
        <v>27</v>
      </c>
    </row>
    <row r="173" spans="1:11" x14ac:dyDescent="0.4">
      <c r="A173" t="s">
        <v>459</v>
      </c>
      <c r="B173" t="s">
        <v>199</v>
      </c>
      <c r="C173" t="s">
        <v>205</v>
      </c>
      <c r="D173" t="s">
        <v>206</v>
      </c>
      <c r="E173" t="s">
        <v>205</v>
      </c>
      <c r="F173">
        <v>37.506</v>
      </c>
      <c r="G173">
        <v>15.420999999999999</v>
      </c>
      <c r="H173">
        <v>17.297999999999998</v>
      </c>
      <c r="I173" s="2">
        <f t="shared" si="4"/>
        <v>2.1682275407561571</v>
      </c>
      <c r="J173" s="2">
        <f t="shared" si="5"/>
        <v>0.89149034570470576</v>
      </c>
      <c r="K173" t="s">
        <v>27</v>
      </c>
    </row>
    <row r="174" spans="1:11" x14ac:dyDescent="0.4">
      <c r="A174" t="s">
        <v>459</v>
      </c>
      <c r="B174" t="s">
        <v>199</v>
      </c>
      <c r="C174" t="s">
        <v>207</v>
      </c>
      <c r="D174" t="s">
        <v>208</v>
      </c>
      <c r="E174" t="s">
        <v>207</v>
      </c>
      <c r="F174">
        <v>37.298000000000002</v>
      </c>
      <c r="G174">
        <v>15.4</v>
      </c>
      <c r="H174">
        <v>17.274999999999999</v>
      </c>
      <c r="I174" s="2">
        <f t="shared" si="4"/>
        <v>2.159073806078148</v>
      </c>
      <c r="J174" s="2">
        <f t="shared" si="5"/>
        <v>0.89146164978292342</v>
      </c>
      <c r="K174" t="s">
        <v>27</v>
      </c>
    </row>
    <row r="175" spans="1:11" x14ac:dyDescent="0.4">
      <c r="A175" t="s">
        <v>459</v>
      </c>
      <c r="B175" t="s">
        <v>199</v>
      </c>
      <c r="C175" t="s">
        <v>209</v>
      </c>
      <c r="D175" t="s">
        <v>210</v>
      </c>
      <c r="E175" t="s">
        <v>209</v>
      </c>
      <c r="F175">
        <v>37.399000000000001</v>
      </c>
      <c r="G175">
        <v>15.435</v>
      </c>
      <c r="H175">
        <v>17.338000000000001</v>
      </c>
      <c r="I175" s="2">
        <f t="shared" si="4"/>
        <v>2.1570538701118931</v>
      </c>
      <c r="J175" s="2">
        <f t="shared" si="5"/>
        <v>0.89024108893759368</v>
      </c>
      <c r="K175" t="s">
        <v>27</v>
      </c>
    </row>
    <row r="176" spans="1:11" x14ac:dyDescent="0.4">
      <c r="A176" t="s">
        <v>459</v>
      </c>
      <c r="B176" t="s">
        <v>199</v>
      </c>
      <c r="C176" t="s">
        <v>211</v>
      </c>
      <c r="D176" t="s">
        <v>212</v>
      </c>
      <c r="E176" t="s">
        <v>211</v>
      </c>
      <c r="F176">
        <v>37.018999999999998</v>
      </c>
      <c r="G176">
        <v>15.477</v>
      </c>
      <c r="H176">
        <v>17.442</v>
      </c>
      <c r="I176" s="2">
        <f t="shared" si="4"/>
        <v>2.1224056874211672</v>
      </c>
      <c r="J176" s="2">
        <f t="shared" si="5"/>
        <v>0.88734090127278986</v>
      </c>
      <c r="K176" t="s">
        <v>27</v>
      </c>
    </row>
    <row r="177" spans="1:11" x14ac:dyDescent="0.4">
      <c r="A177" t="s">
        <v>459</v>
      </c>
      <c r="B177" t="s">
        <v>199</v>
      </c>
      <c r="C177" t="s">
        <v>211</v>
      </c>
      <c r="D177" t="s">
        <v>213</v>
      </c>
      <c r="E177" t="s">
        <v>211</v>
      </c>
      <c r="F177">
        <v>37.058</v>
      </c>
      <c r="G177">
        <v>15.43</v>
      </c>
      <c r="H177">
        <v>17.413</v>
      </c>
      <c r="I177" s="2">
        <f t="shared" si="4"/>
        <v>2.1281800953310746</v>
      </c>
      <c r="J177" s="2">
        <f t="shared" si="5"/>
        <v>0.88611956584161256</v>
      </c>
      <c r="K177" t="s">
        <v>27</v>
      </c>
    </row>
    <row r="178" spans="1:11" x14ac:dyDescent="0.4">
      <c r="A178" t="s">
        <v>459</v>
      </c>
      <c r="B178" t="s">
        <v>199</v>
      </c>
      <c r="C178" t="s">
        <v>214</v>
      </c>
      <c r="D178" t="s">
        <v>215</v>
      </c>
      <c r="E178" t="s">
        <v>214</v>
      </c>
      <c r="F178">
        <v>37.389000000000003</v>
      </c>
      <c r="G178">
        <v>15.404999999999999</v>
      </c>
      <c r="H178">
        <v>17.414999999999999</v>
      </c>
      <c r="I178" s="2">
        <f t="shared" si="4"/>
        <v>2.146942291128338</v>
      </c>
      <c r="J178" s="2">
        <f t="shared" si="5"/>
        <v>0.8845822566752799</v>
      </c>
      <c r="K178" t="s">
        <v>216</v>
      </c>
    </row>
    <row r="179" spans="1:11" x14ac:dyDescent="0.4">
      <c r="A179" t="s">
        <v>459</v>
      </c>
      <c r="B179" t="s">
        <v>199</v>
      </c>
      <c r="C179" t="s">
        <v>209</v>
      </c>
      <c r="D179" t="s">
        <v>217</v>
      </c>
      <c r="E179" t="s">
        <v>209</v>
      </c>
      <c r="F179">
        <v>37.411000000000001</v>
      </c>
      <c r="G179">
        <v>15.423</v>
      </c>
      <c r="H179">
        <v>17.446999999999999</v>
      </c>
      <c r="I179" s="2">
        <f t="shared" si="4"/>
        <v>2.144265489769015</v>
      </c>
      <c r="J179" s="2">
        <f t="shared" si="5"/>
        <v>0.883991517166275</v>
      </c>
      <c r="K179" t="s">
        <v>27</v>
      </c>
    </row>
    <row r="180" spans="1:11" x14ac:dyDescent="0.4">
      <c r="A180" t="s">
        <v>459</v>
      </c>
      <c r="B180" t="s">
        <v>199</v>
      </c>
      <c r="C180" t="s">
        <v>218</v>
      </c>
      <c r="D180" t="s">
        <v>219</v>
      </c>
      <c r="E180" t="s">
        <v>218</v>
      </c>
      <c r="F180">
        <v>37.814999999999998</v>
      </c>
      <c r="G180">
        <v>15.576000000000001</v>
      </c>
      <c r="H180">
        <v>17.655000000000001</v>
      </c>
      <c r="I180" s="2">
        <f t="shared" si="4"/>
        <v>2.1418861512319451</v>
      </c>
      <c r="J180" s="2">
        <f t="shared" si="5"/>
        <v>0.88224299065420553</v>
      </c>
      <c r="K180" t="s">
        <v>27</v>
      </c>
    </row>
    <row r="181" spans="1:11" x14ac:dyDescent="0.4">
      <c r="A181" t="s">
        <v>459</v>
      </c>
      <c r="B181" t="s">
        <v>199</v>
      </c>
      <c r="C181" t="s">
        <v>218</v>
      </c>
      <c r="D181" t="s">
        <v>220</v>
      </c>
      <c r="E181" t="s">
        <v>218</v>
      </c>
      <c r="F181">
        <v>37.526000000000003</v>
      </c>
      <c r="G181">
        <v>15.446</v>
      </c>
      <c r="H181">
        <v>17.507999999999999</v>
      </c>
      <c r="I181" s="2">
        <f t="shared" si="4"/>
        <v>2.1433630340415815</v>
      </c>
      <c r="J181" s="2">
        <f t="shared" si="5"/>
        <v>0.88222526844870919</v>
      </c>
      <c r="K181" t="s">
        <v>27</v>
      </c>
    </row>
    <row r="182" spans="1:11" x14ac:dyDescent="0.4">
      <c r="A182" t="s">
        <v>459</v>
      </c>
      <c r="B182" t="s">
        <v>199</v>
      </c>
      <c r="C182" t="s">
        <v>221</v>
      </c>
      <c r="D182" t="s">
        <v>222</v>
      </c>
      <c r="E182" t="s">
        <v>221</v>
      </c>
      <c r="F182">
        <v>37.86</v>
      </c>
      <c r="G182">
        <v>15.564</v>
      </c>
      <c r="H182">
        <v>17.658999999999999</v>
      </c>
      <c r="I182" s="2">
        <f t="shared" si="4"/>
        <v>2.1439492610000568</v>
      </c>
      <c r="J182" s="2">
        <f t="shared" si="5"/>
        <v>0.88136361062347812</v>
      </c>
      <c r="K182" t="s">
        <v>27</v>
      </c>
    </row>
    <row r="183" spans="1:11" x14ac:dyDescent="0.4">
      <c r="A183" t="s">
        <v>459</v>
      </c>
      <c r="B183" t="s">
        <v>199</v>
      </c>
      <c r="C183" t="s">
        <v>214</v>
      </c>
      <c r="D183" t="s">
        <v>223</v>
      </c>
      <c r="E183" t="s">
        <v>214</v>
      </c>
      <c r="F183">
        <v>37.581000000000003</v>
      </c>
      <c r="G183">
        <v>15.462</v>
      </c>
      <c r="H183">
        <v>17.550999999999998</v>
      </c>
      <c r="I183" s="2">
        <f t="shared" si="4"/>
        <v>2.1412455130761785</v>
      </c>
      <c r="J183" s="2">
        <f t="shared" si="5"/>
        <v>0.88097544299470121</v>
      </c>
      <c r="K183" t="s">
        <v>216</v>
      </c>
    </row>
    <row r="184" spans="1:11" x14ac:dyDescent="0.4">
      <c r="A184" t="s">
        <v>459</v>
      </c>
      <c r="B184" t="s">
        <v>199</v>
      </c>
      <c r="C184" t="s">
        <v>221</v>
      </c>
      <c r="D184" t="s">
        <v>224</v>
      </c>
      <c r="E184" t="s">
        <v>221</v>
      </c>
      <c r="F184">
        <v>37.515999999999998</v>
      </c>
      <c r="G184">
        <v>15.435</v>
      </c>
      <c r="H184">
        <v>17.527999999999999</v>
      </c>
      <c r="I184" s="2">
        <f t="shared" si="4"/>
        <v>2.1403468735737108</v>
      </c>
      <c r="J184" s="2">
        <f t="shared" si="5"/>
        <v>0.88059105431309914</v>
      </c>
      <c r="K184" t="s">
        <v>27</v>
      </c>
    </row>
    <row r="185" spans="1:11" x14ac:dyDescent="0.4">
      <c r="A185" t="s">
        <v>459</v>
      </c>
      <c r="B185" t="s">
        <v>199</v>
      </c>
      <c r="C185" t="s">
        <v>225</v>
      </c>
      <c r="D185" t="s">
        <v>226</v>
      </c>
      <c r="E185" t="s">
        <v>225</v>
      </c>
      <c r="F185">
        <v>37.286999999999999</v>
      </c>
      <c r="G185">
        <v>15.51</v>
      </c>
      <c r="H185">
        <v>17.614999999999998</v>
      </c>
      <c r="I185" s="2">
        <f t="shared" si="4"/>
        <v>2.1167754754470622</v>
      </c>
      <c r="J185" s="2">
        <f t="shared" si="5"/>
        <v>0.88049957422651159</v>
      </c>
      <c r="K185" t="s">
        <v>27</v>
      </c>
    </row>
    <row r="186" spans="1:11" x14ac:dyDescent="0.4">
      <c r="A186" t="s">
        <v>459</v>
      </c>
      <c r="B186" t="s">
        <v>199</v>
      </c>
      <c r="C186" t="s">
        <v>221</v>
      </c>
      <c r="D186" t="s">
        <v>227</v>
      </c>
      <c r="E186" t="s">
        <v>221</v>
      </c>
      <c r="F186">
        <v>37.54</v>
      </c>
      <c r="G186">
        <v>15.436</v>
      </c>
      <c r="H186">
        <v>17.553999999999998</v>
      </c>
      <c r="I186" s="2">
        <f t="shared" si="4"/>
        <v>2.1385439216133078</v>
      </c>
      <c r="J186" s="2">
        <f t="shared" si="5"/>
        <v>0.87934373931867393</v>
      </c>
      <c r="K186" t="s">
        <v>27</v>
      </c>
    </row>
    <row r="187" spans="1:11" x14ac:dyDescent="0.4">
      <c r="A187" t="s">
        <v>459</v>
      </c>
      <c r="B187" t="s">
        <v>199</v>
      </c>
      <c r="C187" t="s">
        <v>211</v>
      </c>
      <c r="D187" t="s">
        <v>228</v>
      </c>
      <c r="E187" t="s">
        <v>211</v>
      </c>
      <c r="F187">
        <v>37.749000000000002</v>
      </c>
      <c r="G187">
        <v>15.515000000000001</v>
      </c>
      <c r="H187">
        <v>17.670000000000002</v>
      </c>
      <c r="I187" s="2">
        <f t="shared" si="4"/>
        <v>2.1363327674023767</v>
      </c>
      <c r="J187" s="2">
        <f t="shared" si="5"/>
        <v>0.87804187889077523</v>
      </c>
      <c r="K187" t="s">
        <v>27</v>
      </c>
    </row>
    <row r="188" spans="1:11" x14ac:dyDescent="0.4">
      <c r="A188" t="s">
        <v>459</v>
      </c>
      <c r="B188" t="s">
        <v>199</v>
      </c>
      <c r="C188" t="s">
        <v>229</v>
      </c>
      <c r="D188" t="s">
        <v>230</v>
      </c>
      <c r="E188" t="s">
        <v>229</v>
      </c>
      <c r="F188">
        <v>37.808</v>
      </c>
      <c r="G188">
        <v>15.506</v>
      </c>
      <c r="H188">
        <v>17.673999999999999</v>
      </c>
      <c r="I188" s="2">
        <f t="shared" si="4"/>
        <v>2.1391875070725361</v>
      </c>
      <c r="J188" s="2">
        <f t="shared" si="5"/>
        <v>0.87733393685639927</v>
      </c>
      <c r="K188" t="s">
        <v>231</v>
      </c>
    </row>
    <row r="189" spans="1:11" x14ac:dyDescent="0.4">
      <c r="A189" t="s">
        <v>459</v>
      </c>
      <c r="B189" s="1" t="s">
        <v>199</v>
      </c>
      <c r="C189" s="1" t="s">
        <v>232</v>
      </c>
      <c r="D189" s="1" t="s">
        <v>233</v>
      </c>
      <c r="E189" s="1" t="s">
        <v>234</v>
      </c>
      <c r="F189" s="1">
        <v>38.384799999999998</v>
      </c>
      <c r="G189" s="1">
        <v>15.6852</v>
      </c>
      <c r="H189" s="1">
        <v>17.879200000000001</v>
      </c>
      <c r="I189" s="2">
        <f t="shared" si="4"/>
        <v>2.1468969528837976</v>
      </c>
      <c r="J189" s="2">
        <f t="shared" si="5"/>
        <v>0.87728757438811578</v>
      </c>
      <c r="K189" s="1" t="s">
        <v>235</v>
      </c>
    </row>
    <row r="190" spans="1:11" x14ac:dyDescent="0.4">
      <c r="A190" t="s">
        <v>459</v>
      </c>
      <c r="B190" t="s">
        <v>199</v>
      </c>
      <c r="C190" t="s">
        <v>214</v>
      </c>
      <c r="D190" t="s">
        <v>236</v>
      </c>
      <c r="E190" t="s">
        <v>214</v>
      </c>
      <c r="F190">
        <v>38.018000000000001</v>
      </c>
      <c r="G190">
        <v>15.542</v>
      </c>
      <c r="H190">
        <v>17.725999999999999</v>
      </c>
      <c r="I190" s="2">
        <f t="shared" si="4"/>
        <v>2.1447591109105271</v>
      </c>
      <c r="J190" s="2">
        <f t="shared" si="5"/>
        <v>0.8767911542367145</v>
      </c>
      <c r="K190" t="s">
        <v>216</v>
      </c>
    </row>
    <row r="191" spans="1:11" x14ac:dyDescent="0.4">
      <c r="A191" t="s">
        <v>459</v>
      </c>
      <c r="B191" t="s">
        <v>199</v>
      </c>
      <c r="C191" t="s">
        <v>237</v>
      </c>
      <c r="D191" t="s">
        <v>238</v>
      </c>
      <c r="E191" t="s">
        <v>237</v>
      </c>
      <c r="F191">
        <v>37.527000000000001</v>
      </c>
      <c r="G191">
        <v>15.442</v>
      </c>
      <c r="H191">
        <v>17.613</v>
      </c>
      <c r="I191" s="2">
        <f t="shared" si="4"/>
        <v>2.1306421393289048</v>
      </c>
      <c r="J191" s="2">
        <f t="shared" si="5"/>
        <v>0.87673877249758703</v>
      </c>
      <c r="K191" t="s">
        <v>27</v>
      </c>
    </row>
    <row r="192" spans="1:11" x14ac:dyDescent="0.4">
      <c r="A192" t="s">
        <v>459</v>
      </c>
      <c r="B192" t="s">
        <v>199</v>
      </c>
      <c r="C192" t="s">
        <v>229</v>
      </c>
      <c r="D192" t="s">
        <v>230</v>
      </c>
      <c r="E192" t="s">
        <v>229</v>
      </c>
      <c r="F192">
        <v>37.976999999999997</v>
      </c>
      <c r="G192">
        <v>15.552</v>
      </c>
      <c r="H192">
        <v>17.742000000000001</v>
      </c>
      <c r="I192" s="2">
        <f t="shared" si="4"/>
        <v>2.1405140344944198</v>
      </c>
      <c r="J192" s="2">
        <f t="shared" si="5"/>
        <v>0.87656408522150819</v>
      </c>
      <c r="K192" t="s">
        <v>231</v>
      </c>
    </row>
    <row r="193" spans="1:11" x14ac:dyDescent="0.4">
      <c r="A193" t="s">
        <v>459</v>
      </c>
      <c r="B193" s="1" t="s">
        <v>199</v>
      </c>
      <c r="C193" s="1" t="s">
        <v>232</v>
      </c>
      <c r="D193" s="1" t="s">
        <v>239</v>
      </c>
      <c r="E193" s="1" t="s">
        <v>234</v>
      </c>
      <c r="F193" s="1">
        <v>38.165799999999997</v>
      </c>
      <c r="G193" s="1">
        <v>15.624000000000001</v>
      </c>
      <c r="H193" s="1">
        <v>17.829499999999999</v>
      </c>
      <c r="I193" s="2">
        <f t="shared" si="4"/>
        <v>2.1405984463950194</v>
      </c>
      <c r="J193" s="2">
        <f t="shared" si="5"/>
        <v>0.87630051319442503</v>
      </c>
      <c r="K193" s="1" t="s">
        <v>486</v>
      </c>
    </row>
    <row r="194" spans="1:11" x14ac:dyDescent="0.4">
      <c r="A194" t="s">
        <v>459</v>
      </c>
      <c r="B194" s="1" t="s">
        <v>199</v>
      </c>
      <c r="C194" s="1" t="s">
        <v>232</v>
      </c>
      <c r="D194" s="1" t="s">
        <v>240</v>
      </c>
      <c r="E194" s="1" t="s">
        <v>241</v>
      </c>
      <c r="F194" s="1">
        <v>38.165900000000001</v>
      </c>
      <c r="G194" s="1">
        <v>15.622400000000001</v>
      </c>
      <c r="H194" s="1">
        <v>17.8277</v>
      </c>
      <c r="I194" s="2">
        <f t="shared" ref="I194:I257" si="6">F194/H194</f>
        <v>2.1408201843199066</v>
      </c>
      <c r="J194" s="2">
        <f t="shared" ref="J194:J257" si="7">G194/H194</f>
        <v>0.8762992421905238</v>
      </c>
      <c r="K194" s="1" t="s">
        <v>487</v>
      </c>
    </row>
    <row r="195" spans="1:11" x14ac:dyDescent="0.4">
      <c r="A195" t="s">
        <v>459</v>
      </c>
      <c r="B195" s="1" t="s">
        <v>199</v>
      </c>
      <c r="C195" s="1" t="s">
        <v>232</v>
      </c>
      <c r="D195" s="1" t="s">
        <v>242</v>
      </c>
      <c r="E195" s="1" t="s">
        <v>108</v>
      </c>
      <c r="F195" s="1">
        <v>38.174500000000002</v>
      </c>
      <c r="G195" s="1">
        <v>15.625500000000001</v>
      </c>
      <c r="H195" s="1">
        <v>17.832000000000001</v>
      </c>
      <c r="I195" s="2">
        <f t="shared" si="6"/>
        <v>2.1407862270076268</v>
      </c>
      <c r="J195" s="2">
        <f t="shared" si="7"/>
        <v>0.87626177658142668</v>
      </c>
      <c r="K195" s="1" t="s">
        <v>488</v>
      </c>
    </row>
    <row r="196" spans="1:11" x14ac:dyDescent="0.4">
      <c r="A196" t="s">
        <v>459</v>
      </c>
      <c r="B196" t="s">
        <v>199</v>
      </c>
      <c r="C196" t="s">
        <v>243</v>
      </c>
      <c r="D196" t="s">
        <v>244</v>
      </c>
      <c r="E196" t="s">
        <v>243</v>
      </c>
      <c r="F196">
        <v>37.412999999999997</v>
      </c>
      <c r="G196">
        <v>15.465999999999999</v>
      </c>
      <c r="H196">
        <v>17.652000000000001</v>
      </c>
      <c r="I196" s="2">
        <f t="shared" si="6"/>
        <v>2.1194765465669612</v>
      </c>
      <c r="J196" s="2">
        <f t="shared" si="7"/>
        <v>0.87616134149104907</v>
      </c>
      <c r="K196" t="s">
        <v>27</v>
      </c>
    </row>
    <row r="197" spans="1:11" x14ac:dyDescent="0.4">
      <c r="A197" t="s">
        <v>459</v>
      </c>
      <c r="B197" s="1" t="s">
        <v>199</v>
      </c>
      <c r="C197" s="1" t="s">
        <v>232</v>
      </c>
      <c r="D197" s="1" t="s">
        <v>245</v>
      </c>
      <c r="E197" s="1" t="s">
        <v>234</v>
      </c>
      <c r="F197" s="1">
        <v>38.161099999999998</v>
      </c>
      <c r="G197" s="1">
        <v>15.639900000000001</v>
      </c>
      <c r="H197" s="1">
        <v>17.852399999999999</v>
      </c>
      <c r="I197" s="2">
        <f t="shared" si="6"/>
        <v>2.1375893437296947</v>
      </c>
      <c r="J197" s="2">
        <f t="shared" si="7"/>
        <v>0.87606708341735573</v>
      </c>
      <c r="K197" s="1" t="s">
        <v>489</v>
      </c>
    </row>
    <row r="198" spans="1:11" x14ac:dyDescent="0.4">
      <c r="A198" t="s">
        <v>459</v>
      </c>
      <c r="B198" s="1" t="s">
        <v>199</v>
      </c>
      <c r="C198" s="1" t="s">
        <v>232</v>
      </c>
      <c r="D198" s="1" t="s">
        <v>246</v>
      </c>
      <c r="E198" s="1" t="s">
        <v>234</v>
      </c>
      <c r="F198" s="1">
        <v>38.179299999999998</v>
      </c>
      <c r="G198" s="1">
        <v>15.634600000000001</v>
      </c>
      <c r="H198" s="1">
        <v>17.850300000000001</v>
      </c>
      <c r="I198" s="2">
        <f t="shared" si="6"/>
        <v>2.1388604113096137</v>
      </c>
      <c r="J198" s="2">
        <f t="shared" si="7"/>
        <v>0.87587323462350775</v>
      </c>
      <c r="K198" s="1" t="s">
        <v>490</v>
      </c>
    </row>
    <row r="199" spans="1:11" x14ac:dyDescent="0.4">
      <c r="A199" t="s">
        <v>459</v>
      </c>
      <c r="B199" s="1" t="s">
        <v>199</v>
      </c>
      <c r="C199" s="1" t="s">
        <v>232</v>
      </c>
      <c r="D199" s="1" t="s">
        <v>247</v>
      </c>
      <c r="E199" s="1" t="s">
        <v>234</v>
      </c>
      <c r="F199" s="1">
        <v>38.173000000000002</v>
      </c>
      <c r="G199" s="1">
        <v>15.623699999999999</v>
      </c>
      <c r="H199" s="1">
        <v>17.838200000000001</v>
      </c>
      <c r="I199" s="2">
        <f t="shared" si="6"/>
        <v>2.1399580675180232</v>
      </c>
      <c r="J199" s="2">
        <f t="shared" si="7"/>
        <v>0.87585630837192086</v>
      </c>
      <c r="K199" s="1" t="s">
        <v>491</v>
      </c>
    </row>
    <row r="200" spans="1:11" x14ac:dyDescent="0.4">
      <c r="A200" t="s">
        <v>459</v>
      </c>
      <c r="B200" s="1" t="s">
        <v>199</v>
      </c>
      <c r="C200" s="1" t="s">
        <v>232</v>
      </c>
      <c r="D200" s="1" t="s">
        <v>248</v>
      </c>
      <c r="E200" s="1" t="s">
        <v>234</v>
      </c>
      <c r="F200" s="1">
        <v>38.3095</v>
      </c>
      <c r="G200" s="1">
        <v>15.737500000000001</v>
      </c>
      <c r="H200" s="1">
        <v>17.968599999999999</v>
      </c>
      <c r="I200" s="2">
        <f t="shared" si="6"/>
        <v>2.1320247542936013</v>
      </c>
      <c r="J200" s="2">
        <f t="shared" si="7"/>
        <v>0.87583339826141171</v>
      </c>
      <c r="K200" s="1" t="s">
        <v>492</v>
      </c>
    </row>
    <row r="201" spans="1:11" x14ac:dyDescent="0.4">
      <c r="A201" t="s">
        <v>459</v>
      </c>
      <c r="B201" s="1" t="s">
        <v>199</v>
      </c>
      <c r="C201" s="1" t="s">
        <v>249</v>
      </c>
      <c r="D201" s="1" t="s">
        <v>250</v>
      </c>
      <c r="E201" s="1" t="s">
        <v>251</v>
      </c>
      <c r="F201" s="1">
        <v>38.1265</v>
      </c>
      <c r="G201" s="1">
        <v>15.628399999999999</v>
      </c>
      <c r="H201" s="1">
        <v>17.845700000000001</v>
      </c>
      <c r="I201" s="2">
        <f t="shared" si="6"/>
        <v>2.1364530391074599</v>
      </c>
      <c r="J201" s="2">
        <f t="shared" si="7"/>
        <v>0.87575158161349786</v>
      </c>
      <c r="K201" s="1" t="s">
        <v>493</v>
      </c>
    </row>
    <row r="202" spans="1:11" x14ac:dyDescent="0.4">
      <c r="A202" t="s">
        <v>459</v>
      </c>
      <c r="B202" t="s">
        <v>199</v>
      </c>
      <c r="C202" t="s">
        <v>214</v>
      </c>
      <c r="D202">
        <v>841</v>
      </c>
      <c r="E202" t="s">
        <v>214</v>
      </c>
      <c r="F202">
        <v>38.311999999999998</v>
      </c>
      <c r="G202">
        <v>15.478</v>
      </c>
      <c r="H202">
        <v>17.673999999999999</v>
      </c>
      <c r="I202" s="2">
        <f t="shared" si="6"/>
        <v>2.1677039719361773</v>
      </c>
      <c r="J202" s="2">
        <f t="shared" si="7"/>
        <v>0.87574968880841919</v>
      </c>
      <c r="K202" t="s">
        <v>216</v>
      </c>
    </row>
    <row r="203" spans="1:11" x14ac:dyDescent="0.4">
      <c r="A203" t="s">
        <v>459</v>
      </c>
      <c r="B203" s="1" t="s">
        <v>199</v>
      </c>
      <c r="C203" s="1" t="s">
        <v>232</v>
      </c>
      <c r="D203" s="1" t="s">
        <v>252</v>
      </c>
      <c r="E203" s="1" t="s">
        <v>234</v>
      </c>
      <c r="F203" s="1">
        <v>38.2074</v>
      </c>
      <c r="G203" s="1">
        <v>15.6424</v>
      </c>
      <c r="H203" s="1">
        <v>17.862500000000001</v>
      </c>
      <c r="I203" s="2">
        <f t="shared" si="6"/>
        <v>2.1389727081875436</v>
      </c>
      <c r="J203" s="2">
        <f t="shared" si="7"/>
        <v>0.87571168649405173</v>
      </c>
      <c r="K203" s="1" t="s">
        <v>494</v>
      </c>
    </row>
    <row r="204" spans="1:11" x14ac:dyDescent="0.4">
      <c r="A204" t="s">
        <v>459</v>
      </c>
      <c r="B204" s="1" t="s">
        <v>199</v>
      </c>
      <c r="C204" s="1" t="s">
        <v>253</v>
      </c>
      <c r="D204" s="1" t="s">
        <v>254</v>
      </c>
      <c r="E204" s="1" t="s">
        <v>234</v>
      </c>
      <c r="F204" s="1">
        <v>38.081400000000002</v>
      </c>
      <c r="G204" s="1">
        <v>15.6287</v>
      </c>
      <c r="H204" s="1">
        <v>17.847300000000001</v>
      </c>
      <c r="I204" s="2">
        <f t="shared" si="6"/>
        <v>2.1337345144643729</v>
      </c>
      <c r="J204" s="2">
        <f t="shared" si="7"/>
        <v>0.87568988026200045</v>
      </c>
      <c r="K204" s="1" t="s">
        <v>495</v>
      </c>
    </row>
    <row r="205" spans="1:11" x14ac:dyDescent="0.4">
      <c r="A205" t="s">
        <v>459</v>
      </c>
      <c r="B205" s="1" t="s">
        <v>199</v>
      </c>
      <c r="C205" s="1" t="s">
        <v>232</v>
      </c>
      <c r="D205" s="1" t="s">
        <v>255</v>
      </c>
      <c r="E205" s="1" t="s">
        <v>241</v>
      </c>
      <c r="F205" s="1">
        <v>38.1661</v>
      </c>
      <c r="G205" s="1">
        <v>15.626200000000001</v>
      </c>
      <c r="H205" s="1">
        <v>17.846</v>
      </c>
      <c r="I205" s="2">
        <f t="shared" si="6"/>
        <v>2.1386361089319736</v>
      </c>
      <c r="J205" s="2">
        <f t="shared" si="7"/>
        <v>0.87561358287571445</v>
      </c>
      <c r="K205" s="1" t="s">
        <v>496</v>
      </c>
    </row>
    <row r="206" spans="1:11" x14ac:dyDescent="0.4">
      <c r="A206" t="s">
        <v>459</v>
      </c>
      <c r="B206" s="1" t="s">
        <v>199</v>
      </c>
      <c r="C206" s="1" t="s">
        <v>253</v>
      </c>
      <c r="D206" s="1" t="s">
        <v>256</v>
      </c>
      <c r="E206" s="1" t="s">
        <v>241</v>
      </c>
      <c r="F206" s="1">
        <v>38.1646</v>
      </c>
      <c r="G206" s="1">
        <v>15.6313</v>
      </c>
      <c r="H206" s="1">
        <v>17.851900000000001</v>
      </c>
      <c r="I206" s="2">
        <f t="shared" si="6"/>
        <v>2.1378452713716745</v>
      </c>
      <c r="J206" s="2">
        <f t="shared" si="7"/>
        <v>0.87560987906049215</v>
      </c>
      <c r="K206" s="1" t="s">
        <v>497</v>
      </c>
    </row>
    <row r="207" spans="1:11" x14ac:dyDescent="0.4">
      <c r="A207" t="s">
        <v>459</v>
      </c>
      <c r="B207" t="s">
        <v>199</v>
      </c>
      <c r="C207" t="s">
        <v>30</v>
      </c>
      <c r="D207">
        <v>1</v>
      </c>
      <c r="E207" t="s">
        <v>30</v>
      </c>
      <c r="F207">
        <v>37.887999999999998</v>
      </c>
      <c r="G207">
        <v>15.542</v>
      </c>
      <c r="H207">
        <v>17.75</v>
      </c>
      <c r="I207" s="2">
        <f t="shared" si="6"/>
        <v>2.1345352112676057</v>
      </c>
      <c r="J207" s="2">
        <f t="shared" si="7"/>
        <v>0.87560563380281686</v>
      </c>
      <c r="K207" t="s">
        <v>257</v>
      </c>
    </row>
    <row r="208" spans="1:11" x14ac:dyDescent="0.4">
      <c r="A208" t="s">
        <v>459</v>
      </c>
      <c r="B208" s="1" t="s">
        <v>199</v>
      </c>
      <c r="C208" s="1" t="s">
        <v>253</v>
      </c>
      <c r="D208" s="1" t="s">
        <v>258</v>
      </c>
      <c r="E208" s="1" t="s">
        <v>234</v>
      </c>
      <c r="F208" s="1">
        <v>38.047899999999998</v>
      </c>
      <c r="G208" s="1">
        <v>15.624000000000001</v>
      </c>
      <c r="H208" s="1">
        <v>17.8444</v>
      </c>
      <c r="I208" s="2">
        <f t="shared" si="6"/>
        <v>2.1322039407321065</v>
      </c>
      <c r="J208" s="2">
        <f t="shared" si="7"/>
        <v>0.87556880589989017</v>
      </c>
      <c r="K208" s="1" t="s">
        <v>498</v>
      </c>
    </row>
    <row r="209" spans="1:27" x14ac:dyDescent="0.4">
      <c r="A209" t="s">
        <v>459</v>
      </c>
      <c r="B209" s="1" t="s">
        <v>199</v>
      </c>
      <c r="C209" s="1" t="s">
        <v>232</v>
      </c>
      <c r="D209" s="1" t="s">
        <v>259</v>
      </c>
      <c r="E209" s="1" t="s">
        <v>234</v>
      </c>
      <c r="F209" s="1">
        <v>38.189</v>
      </c>
      <c r="G209" s="1">
        <v>15.638500000000001</v>
      </c>
      <c r="H209" s="1">
        <v>17.8613</v>
      </c>
      <c r="I209" s="2">
        <f t="shared" si="6"/>
        <v>2.1380862535201803</v>
      </c>
      <c r="J209" s="2">
        <f t="shared" si="7"/>
        <v>0.87555217145448538</v>
      </c>
      <c r="K209" s="1" t="s">
        <v>499</v>
      </c>
    </row>
    <row r="210" spans="1:27" x14ac:dyDescent="0.4">
      <c r="A210" t="s">
        <v>459</v>
      </c>
      <c r="B210" s="1" t="s">
        <v>199</v>
      </c>
      <c r="C210" s="1" t="s">
        <v>253</v>
      </c>
      <c r="D210" s="1" t="s">
        <v>260</v>
      </c>
      <c r="E210" s="1" t="s">
        <v>241</v>
      </c>
      <c r="F210" s="1">
        <v>38.170099999999998</v>
      </c>
      <c r="G210" s="1">
        <v>15.630699999999999</v>
      </c>
      <c r="H210" s="1">
        <v>17.852499999999999</v>
      </c>
      <c r="I210" s="2">
        <f t="shared" si="6"/>
        <v>2.1380815011903094</v>
      </c>
      <c r="J210" s="2">
        <f t="shared" si="7"/>
        <v>0.8755468421789665</v>
      </c>
      <c r="K210" s="1" t="s">
        <v>500</v>
      </c>
    </row>
    <row r="211" spans="1:27" x14ac:dyDescent="0.4">
      <c r="A211" t="s">
        <v>459</v>
      </c>
      <c r="B211" s="1" t="s">
        <v>199</v>
      </c>
      <c r="C211" s="1" t="s">
        <v>232</v>
      </c>
      <c r="D211" s="1" t="s">
        <v>261</v>
      </c>
      <c r="E211" s="1" t="s">
        <v>234</v>
      </c>
      <c r="F211" s="1">
        <v>38.5779</v>
      </c>
      <c r="G211" s="1">
        <v>15.893599999999999</v>
      </c>
      <c r="H211" s="1">
        <v>18.155999999999999</v>
      </c>
      <c r="I211" s="2">
        <f t="shared" si="6"/>
        <v>2.1248017184401853</v>
      </c>
      <c r="J211" s="2">
        <f t="shared" si="7"/>
        <v>0.8753910552985239</v>
      </c>
      <c r="K211" s="1" t="s">
        <v>501</v>
      </c>
    </row>
    <row r="212" spans="1:27" x14ac:dyDescent="0.4">
      <c r="A212" t="s">
        <v>459</v>
      </c>
      <c r="B212" s="1" t="s">
        <v>199</v>
      </c>
      <c r="C212" s="1" t="s">
        <v>232</v>
      </c>
      <c r="D212" s="1" t="s">
        <v>262</v>
      </c>
      <c r="E212" s="1" t="s">
        <v>234</v>
      </c>
      <c r="F212" s="1">
        <v>38.276899999999998</v>
      </c>
      <c r="G212" s="1">
        <v>15.6797</v>
      </c>
      <c r="H212" s="1">
        <v>17.914300000000001</v>
      </c>
      <c r="I212" s="2">
        <f t="shared" si="6"/>
        <v>2.1366673551297009</v>
      </c>
      <c r="J212" s="2">
        <f t="shared" si="7"/>
        <v>0.87526166247076354</v>
      </c>
      <c r="K212" s="1" t="s">
        <v>502</v>
      </c>
    </row>
    <row r="213" spans="1:27" x14ac:dyDescent="0.4">
      <c r="A213" t="s">
        <v>459</v>
      </c>
      <c r="B213" t="s">
        <v>199</v>
      </c>
      <c r="C213" t="s">
        <v>263</v>
      </c>
      <c r="D213">
        <v>10</v>
      </c>
      <c r="E213" t="s">
        <v>263</v>
      </c>
      <c r="F213">
        <v>37.896999999999998</v>
      </c>
      <c r="G213">
        <v>15.542999999999999</v>
      </c>
      <c r="H213">
        <v>17.760999999999999</v>
      </c>
      <c r="I213" s="2">
        <f t="shared" si="6"/>
        <v>2.1337199482011147</v>
      </c>
      <c r="J213" s="2">
        <f t="shared" si="7"/>
        <v>0.87511964416417998</v>
      </c>
      <c r="K213" t="s">
        <v>257</v>
      </c>
    </row>
    <row r="214" spans="1:27" x14ac:dyDescent="0.4">
      <c r="A214" t="s">
        <v>459</v>
      </c>
      <c r="B214" s="1" t="s">
        <v>199</v>
      </c>
      <c r="C214" s="1" t="s">
        <v>232</v>
      </c>
      <c r="D214" s="1" t="s">
        <v>264</v>
      </c>
      <c r="E214" s="1" t="s">
        <v>234</v>
      </c>
      <c r="F214" s="1">
        <v>38.103900000000003</v>
      </c>
      <c r="G214" s="1">
        <v>15.621499999999999</v>
      </c>
      <c r="H214" s="1">
        <v>17.851400000000002</v>
      </c>
      <c r="I214" s="2">
        <f t="shared" si="6"/>
        <v>2.1345048567619345</v>
      </c>
      <c r="J214" s="2">
        <f t="shared" si="7"/>
        <v>0.8750854274734754</v>
      </c>
      <c r="K214" s="1" t="s">
        <v>503</v>
      </c>
    </row>
    <row r="215" spans="1:27" x14ac:dyDescent="0.4">
      <c r="A215" t="s">
        <v>459</v>
      </c>
      <c r="B215" s="1" t="s">
        <v>199</v>
      </c>
      <c r="C215" s="1" t="s">
        <v>253</v>
      </c>
      <c r="D215" s="1" t="s">
        <v>265</v>
      </c>
      <c r="E215" s="1" t="s">
        <v>241</v>
      </c>
      <c r="F215" s="1">
        <v>37.996000000000002</v>
      </c>
      <c r="G215" s="1">
        <v>15.595000000000001</v>
      </c>
      <c r="H215" s="1">
        <v>17.827999999999999</v>
      </c>
      <c r="I215" s="2">
        <f t="shared" si="6"/>
        <v>2.1312542068656048</v>
      </c>
      <c r="J215" s="2">
        <f t="shared" si="7"/>
        <v>0.87474758806372011</v>
      </c>
      <c r="K215" s="1" t="s">
        <v>504</v>
      </c>
    </row>
    <row r="216" spans="1:27" x14ac:dyDescent="0.4">
      <c r="A216" t="s">
        <v>459</v>
      </c>
      <c r="B216" s="1" t="s">
        <v>199</v>
      </c>
      <c r="C216" s="1" t="s">
        <v>253</v>
      </c>
      <c r="D216" s="1" t="s">
        <v>266</v>
      </c>
      <c r="E216" s="1" t="s">
        <v>234</v>
      </c>
      <c r="F216" s="1">
        <v>38.204000000000001</v>
      </c>
      <c r="G216" s="1">
        <v>15.633800000000001</v>
      </c>
      <c r="H216" s="1">
        <v>17.8764</v>
      </c>
      <c r="I216" s="2">
        <f t="shared" si="6"/>
        <v>2.1371193305139737</v>
      </c>
      <c r="J216" s="2">
        <f t="shared" si="7"/>
        <v>0.87454968561902846</v>
      </c>
      <c r="K216" s="1" t="s">
        <v>505</v>
      </c>
    </row>
    <row r="217" spans="1:27" s="4" customFormat="1" x14ac:dyDescent="0.4">
      <c r="A217" t="s">
        <v>459</v>
      </c>
      <c r="B217" s="1" t="s">
        <v>199</v>
      </c>
      <c r="C217" s="1" t="s">
        <v>267</v>
      </c>
      <c r="D217" s="1" t="s">
        <v>268</v>
      </c>
      <c r="E217" s="1" t="s">
        <v>234</v>
      </c>
      <c r="F217" s="1">
        <v>38.182299999999998</v>
      </c>
      <c r="G217" s="1">
        <v>15.6241</v>
      </c>
      <c r="H217" s="1">
        <v>17.867100000000001</v>
      </c>
      <c r="I217" s="2">
        <f t="shared" si="6"/>
        <v>2.1370171992097204</v>
      </c>
      <c r="J217" s="2">
        <f t="shared" si="7"/>
        <v>0.87446199998880625</v>
      </c>
      <c r="K217" s="1" t="s">
        <v>485</v>
      </c>
      <c r="L217" s="1"/>
      <c r="M217" s="1"/>
      <c r="N217" s="1"/>
      <c r="O217" s="1"/>
      <c r="P217" s="1"/>
      <c r="Q217" s="1"/>
      <c r="R217" s="1"/>
      <c r="S217" s="1"/>
      <c r="T217" s="1"/>
      <c r="U217" s="1"/>
      <c r="V217" s="1"/>
      <c r="W217" s="1"/>
      <c r="X217" s="1"/>
      <c r="Y217" s="1"/>
      <c r="Z217" s="1"/>
      <c r="AA217" s="1"/>
    </row>
    <row r="218" spans="1:27" x14ac:dyDescent="0.4">
      <c r="A218" t="s">
        <v>459</v>
      </c>
      <c r="B218" s="1" t="s">
        <v>199</v>
      </c>
      <c r="C218" s="1" t="s">
        <v>232</v>
      </c>
      <c r="D218" s="1" t="s">
        <v>269</v>
      </c>
      <c r="E218" s="1" t="s">
        <v>234</v>
      </c>
      <c r="F218" s="1">
        <v>38.3752</v>
      </c>
      <c r="G218" s="1">
        <v>15.7174</v>
      </c>
      <c r="H218" s="1">
        <v>17.973800000000001</v>
      </c>
      <c r="I218" s="2">
        <f t="shared" si="6"/>
        <v>2.1350632587432816</v>
      </c>
      <c r="J218" s="2">
        <f t="shared" si="7"/>
        <v>0.87446171649845883</v>
      </c>
      <c r="K218" s="1" t="s">
        <v>487</v>
      </c>
    </row>
    <row r="219" spans="1:27" x14ac:dyDescent="0.4">
      <c r="A219" t="s">
        <v>459</v>
      </c>
      <c r="B219" s="1" t="s">
        <v>199</v>
      </c>
      <c r="C219" s="1" t="s">
        <v>253</v>
      </c>
      <c r="D219" s="1" t="s">
        <v>270</v>
      </c>
      <c r="E219" s="1" t="s">
        <v>241</v>
      </c>
      <c r="F219" s="1">
        <v>38.946599999999997</v>
      </c>
      <c r="G219" s="1">
        <v>15.563599999999999</v>
      </c>
      <c r="H219" s="1">
        <v>17.799199999999999</v>
      </c>
      <c r="I219" s="2">
        <f t="shared" si="6"/>
        <v>2.18810957795856</v>
      </c>
      <c r="J219" s="2">
        <f t="shared" si="7"/>
        <v>0.87439884938648926</v>
      </c>
      <c r="K219" s="1" t="s">
        <v>488</v>
      </c>
    </row>
    <row r="220" spans="1:27" x14ac:dyDescent="0.4">
      <c r="A220" t="s">
        <v>459</v>
      </c>
      <c r="B220" s="1" t="s">
        <v>199</v>
      </c>
      <c r="C220" s="1" t="s">
        <v>232</v>
      </c>
      <c r="D220" s="1" t="s">
        <v>271</v>
      </c>
      <c r="E220" s="1" t="s">
        <v>234</v>
      </c>
      <c r="F220" s="1">
        <v>38.634399999999999</v>
      </c>
      <c r="G220" s="1">
        <v>15.885300000000001</v>
      </c>
      <c r="H220" s="1">
        <v>18.167200000000001</v>
      </c>
      <c r="I220" s="2">
        <f t="shared" si="6"/>
        <v>2.126601787837421</v>
      </c>
      <c r="J220" s="2">
        <f t="shared" si="7"/>
        <v>0.87439451318860362</v>
      </c>
      <c r="K220" s="1" t="s">
        <v>506</v>
      </c>
    </row>
    <row r="221" spans="1:27" x14ac:dyDescent="0.4">
      <c r="A221" t="s">
        <v>459</v>
      </c>
      <c r="B221" t="s">
        <v>199</v>
      </c>
      <c r="C221" t="s">
        <v>272</v>
      </c>
      <c r="D221">
        <v>3</v>
      </c>
      <c r="E221" t="s">
        <v>272</v>
      </c>
      <c r="F221">
        <v>37.975999999999999</v>
      </c>
      <c r="G221">
        <v>15.568</v>
      </c>
      <c r="H221">
        <v>17.806000000000001</v>
      </c>
      <c r="I221" s="2">
        <f t="shared" si="6"/>
        <v>2.1327642367741211</v>
      </c>
      <c r="J221" s="2">
        <f t="shared" si="7"/>
        <v>0.87431202965292587</v>
      </c>
      <c r="K221" t="s">
        <v>257</v>
      </c>
    </row>
    <row r="222" spans="1:27" x14ac:dyDescent="0.4">
      <c r="A222" t="s">
        <v>459</v>
      </c>
      <c r="B222" s="1" t="s">
        <v>199</v>
      </c>
      <c r="C222" s="1" t="s">
        <v>253</v>
      </c>
      <c r="D222" s="1" t="s">
        <v>273</v>
      </c>
      <c r="E222" s="1" t="s">
        <v>234</v>
      </c>
      <c r="F222" s="1">
        <v>37.926000000000002</v>
      </c>
      <c r="G222" s="1">
        <v>15.554</v>
      </c>
      <c r="H222" s="1">
        <v>17.794</v>
      </c>
      <c r="I222" s="2">
        <f t="shared" si="6"/>
        <v>2.1313926042486231</v>
      </c>
      <c r="J222" s="2">
        <f t="shared" si="7"/>
        <v>0.8741148701809599</v>
      </c>
      <c r="K222" s="1" t="s">
        <v>507</v>
      </c>
    </row>
    <row r="223" spans="1:27" x14ac:dyDescent="0.4">
      <c r="A223" t="s">
        <v>459</v>
      </c>
      <c r="B223" s="1" t="s">
        <v>199</v>
      </c>
      <c r="C223" s="1" t="s">
        <v>232</v>
      </c>
      <c r="D223" s="1" t="s">
        <v>274</v>
      </c>
      <c r="E223" s="1" t="s">
        <v>234</v>
      </c>
      <c r="F223" s="1">
        <v>38.156799999999997</v>
      </c>
      <c r="G223" s="1">
        <v>15.6745</v>
      </c>
      <c r="H223" s="1">
        <v>17.938199999999998</v>
      </c>
      <c r="I223" s="2">
        <f t="shared" si="6"/>
        <v>2.1271253525994807</v>
      </c>
      <c r="J223" s="2">
        <f t="shared" si="7"/>
        <v>0.87380562152278385</v>
      </c>
      <c r="K223" s="1" t="s">
        <v>508</v>
      </c>
    </row>
    <row r="224" spans="1:27" x14ac:dyDescent="0.4">
      <c r="A224" t="s">
        <v>459</v>
      </c>
      <c r="B224" s="1" t="s">
        <v>199</v>
      </c>
      <c r="C224" s="1" t="s">
        <v>232</v>
      </c>
      <c r="D224" s="1" t="s">
        <v>275</v>
      </c>
      <c r="E224" s="1" t="s">
        <v>234</v>
      </c>
      <c r="F224" s="1">
        <v>38.126800000000003</v>
      </c>
      <c r="G224" s="1">
        <v>15.6768</v>
      </c>
      <c r="H224" s="1">
        <v>17.945</v>
      </c>
      <c r="I224" s="2">
        <f t="shared" si="6"/>
        <v>2.1246475341320705</v>
      </c>
      <c r="J224" s="2">
        <f t="shared" si="7"/>
        <v>0.87360267483978826</v>
      </c>
      <c r="K224" s="1" t="s">
        <v>509</v>
      </c>
    </row>
    <row r="225" spans="1:11" x14ac:dyDescent="0.4">
      <c r="A225" t="s">
        <v>459</v>
      </c>
      <c r="B225" s="1" t="s">
        <v>199</v>
      </c>
      <c r="C225" s="1" t="s">
        <v>253</v>
      </c>
      <c r="D225" s="1" t="s">
        <v>276</v>
      </c>
      <c r="E225" s="1" t="s">
        <v>234</v>
      </c>
      <c r="F225" s="1">
        <v>38.2791</v>
      </c>
      <c r="G225" s="1">
        <v>15.636799999999999</v>
      </c>
      <c r="H225" s="1">
        <v>17.917300000000001</v>
      </c>
      <c r="I225" s="2">
        <f t="shared" si="6"/>
        <v>2.1364323865761023</v>
      </c>
      <c r="J225" s="2">
        <f t="shared" si="7"/>
        <v>0.87272077824225736</v>
      </c>
      <c r="K225" s="1" t="s">
        <v>510</v>
      </c>
    </row>
    <row r="226" spans="1:11" x14ac:dyDescent="0.4">
      <c r="A226" t="s">
        <v>459</v>
      </c>
      <c r="B226" t="s">
        <v>199</v>
      </c>
      <c r="C226" t="s">
        <v>95</v>
      </c>
      <c r="D226" t="s">
        <v>277</v>
      </c>
      <c r="E226" t="s">
        <v>95</v>
      </c>
      <c r="F226">
        <v>38.656999999999996</v>
      </c>
      <c r="G226">
        <v>15.805</v>
      </c>
      <c r="H226">
        <v>18.149000000000001</v>
      </c>
      <c r="I226" s="2">
        <f t="shared" si="6"/>
        <v>2.1299796132018289</v>
      </c>
      <c r="J226" s="2">
        <f t="shared" si="7"/>
        <v>0.8708468786159016</v>
      </c>
      <c r="K226" t="s">
        <v>278</v>
      </c>
    </row>
    <row r="227" spans="1:11" x14ac:dyDescent="0.4">
      <c r="A227" t="s">
        <v>459</v>
      </c>
      <c r="B227" t="s">
        <v>199</v>
      </c>
      <c r="C227" t="s">
        <v>229</v>
      </c>
      <c r="D227" t="s">
        <v>279</v>
      </c>
      <c r="E227" t="s">
        <v>229</v>
      </c>
      <c r="F227">
        <v>37.744</v>
      </c>
      <c r="G227">
        <v>15.473000000000001</v>
      </c>
      <c r="H227">
        <v>17.782</v>
      </c>
      <c r="I227" s="2">
        <f t="shared" si="6"/>
        <v>2.1225958834776741</v>
      </c>
      <c r="J227" s="2">
        <f t="shared" si="7"/>
        <v>0.87014958947250032</v>
      </c>
      <c r="K227" t="s">
        <v>231</v>
      </c>
    </row>
    <row r="228" spans="1:11" x14ac:dyDescent="0.4">
      <c r="A228" t="s">
        <v>459</v>
      </c>
      <c r="B228" t="s">
        <v>199</v>
      </c>
      <c r="C228" t="s">
        <v>95</v>
      </c>
      <c r="D228" t="s">
        <v>280</v>
      </c>
      <c r="E228" t="s">
        <v>95</v>
      </c>
      <c r="F228">
        <v>38.21</v>
      </c>
      <c r="G228">
        <v>15.457000000000001</v>
      </c>
      <c r="H228">
        <v>17.774999999999999</v>
      </c>
      <c r="I228" s="2">
        <f t="shared" si="6"/>
        <v>2.149648382559775</v>
      </c>
      <c r="J228" s="2">
        <f t="shared" si="7"/>
        <v>0.86959212376933903</v>
      </c>
      <c r="K228" t="s">
        <v>281</v>
      </c>
    </row>
    <row r="229" spans="1:11" x14ac:dyDescent="0.4">
      <c r="A229" t="s">
        <v>459</v>
      </c>
      <c r="B229" t="s">
        <v>199</v>
      </c>
      <c r="C229" t="s">
        <v>282</v>
      </c>
      <c r="D229" t="s">
        <v>283</v>
      </c>
      <c r="E229" t="s">
        <v>282</v>
      </c>
      <c r="F229">
        <v>38.231000000000002</v>
      </c>
      <c r="G229">
        <v>15.645</v>
      </c>
      <c r="H229">
        <v>18.012</v>
      </c>
      <c r="I229" s="2">
        <f t="shared" si="6"/>
        <v>2.1225294248278925</v>
      </c>
      <c r="J229" s="2">
        <f t="shared" si="7"/>
        <v>0.86858760826115922</v>
      </c>
      <c r="K229" t="s">
        <v>284</v>
      </c>
    </row>
    <row r="230" spans="1:11" x14ac:dyDescent="0.4">
      <c r="A230" t="s">
        <v>459</v>
      </c>
      <c r="B230" t="s">
        <v>199</v>
      </c>
      <c r="C230" t="s">
        <v>214</v>
      </c>
      <c r="D230">
        <v>820</v>
      </c>
      <c r="E230" t="s">
        <v>214</v>
      </c>
      <c r="F230">
        <v>38.326000000000001</v>
      </c>
      <c r="G230">
        <v>15.506</v>
      </c>
      <c r="H230">
        <v>17.86</v>
      </c>
      <c r="I230" s="2">
        <f t="shared" si="6"/>
        <v>2.1459126539753641</v>
      </c>
      <c r="J230" s="2">
        <f t="shared" si="7"/>
        <v>0.86819708846584553</v>
      </c>
      <c r="K230" t="s">
        <v>216</v>
      </c>
    </row>
    <row r="231" spans="1:11" x14ac:dyDescent="0.4">
      <c r="A231" t="s">
        <v>459</v>
      </c>
      <c r="B231" t="s">
        <v>199</v>
      </c>
      <c r="C231" t="s">
        <v>229</v>
      </c>
      <c r="D231" t="s">
        <v>279</v>
      </c>
      <c r="E231" t="s">
        <v>229</v>
      </c>
      <c r="F231">
        <v>37.997</v>
      </c>
      <c r="G231">
        <v>15.529</v>
      </c>
      <c r="H231">
        <v>17.893999999999998</v>
      </c>
      <c r="I231" s="2">
        <f t="shared" si="6"/>
        <v>2.1234492008494468</v>
      </c>
      <c r="J231" s="2">
        <f t="shared" si="7"/>
        <v>0.86783279311501071</v>
      </c>
      <c r="K231" t="s">
        <v>231</v>
      </c>
    </row>
    <row r="232" spans="1:11" x14ac:dyDescent="0.4">
      <c r="A232" t="s">
        <v>459</v>
      </c>
      <c r="B232" s="1" t="s">
        <v>199</v>
      </c>
      <c r="C232" s="1" t="s">
        <v>285</v>
      </c>
      <c r="D232" s="1" t="s">
        <v>286</v>
      </c>
      <c r="E232" s="1" t="s">
        <v>287</v>
      </c>
      <c r="F232" s="1">
        <v>38.214799999999997</v>
      </c>
      <c r="G232" s="1">
        <v>15.634499999999999</v>
      </c>
      <c r="H232" s="6">
        <v>18.031600000000001</v>
      </c>
      <c r="I232" s="2">
        <f t="shared" si="6"/>
        <v>2.1193238536790964</v>
      </c>
      <c r="J232" s="2">
        <f t="shared" si="7"/>
        <v>0.867061159298121</v>
      </c>
      <c r="K232" s="1" t="s">
        <v>511</v>
      </c>
    </row>
    <row r="233" spans="1:11" x14ac:dyDescent="0.4">
      <c r="A233" t="s">
        <v>459</v>
      </c>
      <c r="B233" s="1" t="s">
        <v>199</v>
      </c>
      <c r="C233" s="1" t="s">
        <v>201</v>
      </c>
      <c r="D233" s="1" t="s">
        <v>288</v>
      </c>
      <c r="E233" s="1" t="s">
        <v>251</v>
      </c>
      <c r="F233" s="1">
        <v>38.15</v>
      </c>
      <c r="G233" s="1">
        <v>15.57</v>
      </c>
      <c r="H233" s="1">
        <v>17.975000000000001</v>
      </c>
      <c r="I233" s="2">
        <f t="shared" si="6"/>
        <v>2.1223922114047284</v>
      </c>
      <c r="J233" s="2">
        <f t="shared" si="7"/>
        <v>0.86620305980528511</v>
      </c>
      <c r="K233" s="1" t="s">
        <v>512</v>
      </c>
    </row>
    <row r="234" spans="1:11" x14ac:dyDescent="0.4">
      <c r="A234" t="s">
        <v>459</v>
      </c>
      <c r="B234" s="1" t="s">
        <v>199</v>
      </c>
      <c r="C234" s="1" t="s">
        <v>285</v>
      </c>
      <c r="D234" s="1" t="s">
        <v>289</v>
      </c>
      <c r="E234" s="1" t="s">
        <v>108</v>
      </c>
      <c r="F234" s="1">
        <v>38.394799999999996</v>
      </c>
      <c r="G234" s="1">
        <v>15.6478</v>
      </c>
      <c r="H234" s="1">
        <v>18.069400000000002</v>
      </c>
      <c r="I234" s="2">
        <f t="shared" si="6"/>
        <v>2.1248519596666182</v>
      </c>
      <c r="J234" s="2">
        <f t="shared" si="7"/>
        <v>0.86598337520891666</v>
      </c>
      <c r="K234" s="1" t="s">
        <v>513</v>
      </c>
    </row>
    <row r="235" spans="1:11" x14ac:dyDescent="0.4">
      <c r="A235" t="s">
        <v>459</v>
      </c>
      <c r="B235" t="s">
        <v>199</v>
      </c>
      <c r="C235" t="s">
        <v>290</v>
      </c>
      <c r="D235" t="s">
        <v>291</v>
      </c>
      <c r="E235" t="s">
        <v>290</v>
      </c>
      <c r="F235">
        <v>38.128999999999998</v>
      </c>
      <c r="G235">
        <v>15.601000000000001</v>
      </c>
      <c r="H235">
        <v>18.018999999999998</v>
      </c>
      <c r="I235" s="2">
        <f t="shared" si="6"/>
        <v>2.1160441755924304</v>
      </c>
      <c r="J235" s="2">
        <f t="shared" si="7"/>
        <v>0.86580831344691722</v>
      </c>
      <c r="K235" t="s">
        <v>27</v>
      </c>
    </row>
    <row r="236" spans="1:11" x14ac:dyDescent="0.4">
      <c r="A236" t="s">
        <v>459</v>
      </c>
      <c r="B236" t="s">
        <v>199</v>
      </c>
      <c r="C236" t="s">
        <v>292</v>
      </c>
      <c r="D236"/>
      <c r="E236" t="s">
        <v>292</v>
      </c>
      <c r="F236">
        <v>38.26</v>
      </c>
      <c r="G236">
        <v>15.646000000000001</v>
      </c>
      <c r="H236">
        <v>18.071000000000002</v>
      </c>
      <c r="I236" s="2">
        <f t="shared" si="6"/>
        <v>2.1172043605777211</v>
      </c>
      <c r="J236" s="2">
        <f t="shared" si="7"/>
        <v>0.86580709423938906</v>
      </c>
      <c r="K236" t="s">
        <v>293</v>
      </c>
    </row>
    <row r="237" spans="1:11" x14ac:dyDescent="0.4">
      <c r="A237" t="s">
        <v>459</v>
      </c>
      <c r="B237" t="s">
        <v>199</v>
      </c>
      <c r="C237" t="s">
        <v>292</v>
      </c>
      <c r="D237"/>
      <c r="E237" t="s">
        <v>292</v>
      </c>
      <c r="F237">
        <v>38.252000000000002</v>
      </c>
      <c r="G237">
        <v>15.644</v>
      </c>
      <c r="H237">
        <v>18.068999999999999</v>
      </c>
      <c r="I237" s="2">
        <f t="shared" si="6"/>
        <v>2.1169959599313746</v>
      </c>
      <c r="J237" s="2">
        <f t="shared" si="7"/>
        <v>0.86579224085450224</v>
      </c>
      <c r="K237" t="s">
        <v>293</v>
      </c>
    </row>
    <row r="238" spans="1:11" x14ac:dyDescent="0.4">
      <c r="A238" t="s">
        <v>459</v>
      </c>
      <c r="B238" t="s">
        <v>199</v>
      </c>
      <c r="C238" t="s">
        <v>294</v>
      </c>
      <c r="D238" t="s">
        <v>295</v>
      </c>
      <c r="E238" t="s">
        <v>294</v>
      </c>
      <c r="F238">
        <v>38.292700000000004</v>
      </c>
      <c r="G238">
        <v>15.6595</v>
      </c>
      <c r="H238">
        <v>18.093399999999999</v>
      </c>
      <c r="I238" s="2">
        <f t="shared" si="6"/>
        <v>2.1163905070357152</v>
      </c>
      <c r="J238" s="2">
        <f t="shared" si="7"/>
        <v>0.86548133573568264</v>
      </c>
      <c r="K238" t="s">
        <v>278</v>
      </c>
    </row>
    <row r="239" spans="1:11" x14ac:dyDescent="0.4">
      <c r="A239" t="s">
        <v>459</v>
      </c>
      <c r="B239" t="s">
        <v>199</v>
      </c>
      <c r="C239" t="s">
        <v>294</v>
      </c>
      <c r="D239" t="s">
        <v>296</v>
      </c>
      <c r="E239" t="s">
        <v>294</v>
      </c>
      <c r="F239">
        <v>38.256500000000003</v>
      </c>
      <c r="G239">
        <v>15.645799999999999</v>
      </c>
      <c r="H239">
        <v>18.079799999999999</v>
      </c>
      <c r="I239" s="2">
        <f t="shared" si="6"/>
        <v>2.1159802652684214</v>
      </c>
      <c r="J239" s="2">
        <f t="shared" si="7"/>
        <v>0.8653746169758515</v>
      </c>
      <c r="K239" t="s">
        <v>278</v>
      </c>
    </row>
    <row r="240" spans="1:11" x14ac:dyDescent="0.4">
      <c r="A240" t="s">
        <v>459</v>
      </c>
      <c r="B240" t="s">
        <v>199</v>
      </c>
      <c r="C240" t="s">
        <v>225</v>
      </c>
      <c r="D240" t="s">
        <v>297</v>
      </c>
      <c r="E240" t="s">
        <v>225</v>
      </c>
      <c r="F240">
        <v>37.543999999999997</v>
      </c>
      <c r="G240">
        <v>15.404</v>
      </c>
      <c r="H240">
        <v>17.800999999999998</v>
      </c>
      <c r="I240" s="2">
        <f t="shared" si="6"/>
        <v>2.1090949946632214</v>
      </c>
      <c r="J240" s="2">
        <f t="shared" si="7"/>
        <v>0.8653446435593507</v>
      </c>
      <c r="K240" t="s">
        <v>27</v>
      </c>
    </row>
    <row r="241" spans="1:27" x14ac:dyDescent="0.4">
      <c r="A241" t="s">
        <v>459</v>
      </c>
      <c r="B241" t="s">
        <v>199</v>
      </c>
      <c r="C241" t="s">
        <v>282</v>
      </c>
      <c r="D241" t="s">
        <v>298</v>
      </c>
      <c r="E241" t="s">
        <v>282</v>
      </c>
      <c r="F241">
        <v>38.072000000000003</v>
      </c>
      <c r="G241">
        <v>15.593999999999999</v>
      </c>
      <c r="H241">
        <v>18.021999999999998</v>
      </c>
      <c r="I241" s="2">
        <f t="shared" si="6"/>
        <v>2.1125291310620358</v>
      </c>
      <c r="J241" s="2">
        <f t="shared" si="7"/>
        <v>0.86527577405393408</v>
      </c>
      <c r="K241" t="s">
        <v>284</v>
      </c>
    </row>
    <row r="242" spans="1:27" x14ac:dyDescent="0.4">
      <c r="A242" t="s">
        <v>459</v>
      </c>
      <c r="B242" t="s">
        <v>199</v>
      </c>
      <c r="C242" t="s">
        <v>282</v>
      </c>
      <c r="D242" t="s">
        <v>299</v>
      </c>
      <c r="E242" t="s">
        <v>282</v>
      </c>
      <c r="F242">
        <v>37.976999999999997</v>
      </c>
      <c r="G242">
        <v>15.558999999999999</v>
      </c>
      <c r="H242">
        <v>17.981999999999999</v>
      </c>
      <c r="I242" s="2">
        <f t="shared" si="6"/>
        <v>2.111945278611945</v>
      </c>
      <c r="J242" s="2">
        <f t="shared" si="7"/>
        <v>0.86525414303192083</v>
      </c>
      <c r="K242" t="s">
        <v>284</v>
      </c>
    </row>
    <row r="243" spans="1:27" x14ac:dyDescent="0.4">
      <c r="A243" t="s">
        <v>459</v>
      </c>
      <c r="B243" t="s">
        <v>199</v>
      </c>
      <c r="C243" t="s">
        <v>294</v>
      </c>
      <c r="D243" t="s">
        <v>300</v>
      </c>
      <c r="E243" t="s">
        <v>294</v>
      </c>
      <c r="F243">
        <v>37.9848</v>
      </c>
      <c r="G243">
        <v>15.5534</v>
      </c>
      <c r="H243">
        <v>17.978200000000001</v>
      </c>
      <c r="I243" s="2">
        <f t="shared" si="6"/>
        <v>2.1128255331456987</v>
      </c>
      <c r="J243" s="2">
        <f t="shared" si="7"/>
        <v>0.86512554093290761</v>
      </c>
      <c r="K243" t="s">
        <v>278</v>
      </c>
    </row>
    <row r="244" spans="1:27" s="4" customFormat="1" x14ac:dyDescent="0.4">
      <c r="A244" t="s">
        <v>459</v>
      </c>
      <c r="B244" t="s">
        <v>199</v>
      </c>
      <c r="C244" t="s">
        <v>272</v>
      </c>
      <c r="D244">
        <v>4</v>
      </c>
      <c r="E244" t="s">
        <v>272</v>
      </c>
      <c r="F244">
        <v>37.927</v>
      </c>
      <c r="G244">
        <v>15.552</v>
      </c>
      <c r="H244">
        <v>17.978999999999999</v>
      </c>
      <c r="I244" s="2">
        <f t="shared" si="6"/>
        <v>2.1095166583235998</v>
      </c>
      <c r="J244" s="2">
        <f t="shared" si="7"/>
        <v>0.8650091773736025</v>
      </c>
      <c r="K244" t="s">
        <v>257</v>
      </c>
      <c r="L244" s="1"/>
      <c r="M244" s="1"/>
      <c r="N244" s="1"/>
      <c r="O244" s="1"/>
      <c r="P244" s="1"/>
      <c r="Q244" s="1"/>
      <c r="R244" s="1"/>
      <c r="S244" s="1"/>
      <c r="T244" s="1"/>
      <c r="U244" s="1"/>
      <c r="V244" s="1"/>
      <c r="W244" s="1"/>
      <c r="X244" s="1"/>
      <c r="Y244" s="1"/>
      <c r="Z244" s="1"/>
      <c r="AA244" s="1"/>
    </row>
    <row r="245" spans="1:27" x14ac:dyDescent="0.4">
      <c r="A245" t="s">
        <v>459</v>
      </c>
      <c r="B245" t="s">
        <v>199</v>
      </c>
      <c r="C245" t="s">
        <v>294</v>
      </c>
      <c r="D245" t="s">
        <v>301</v>
      </c>
      <c r="E245" t="s">
        <v>294</v>
      </c>
      <c r="F245">
        <v>38.191800000000001</v>
      </c>
      <c r="G245">
        <v>15.6251</v>
      </c>
      <c r="H245">
        <v>18.069500000000001</v>
      </c>
      <c r="I245" s="2">
        <f t="shared" si="6"/>
        <v>2.1136057998284401</v>
      </c>
      <c r="J245" s="2">
        <f t="shared" si="7"/>
        <v>0.86472232214505096</v>
      </c>
      <c r="K245" t="s">
        <v>278</v>
      </c>
    </row>
    <row r="246" spans="1:27" x14ac:dyDescent="0.4">
      <c r="A246" t="s">
        <v>459</v>
      </c>
      <c r="B246" t="s">
        <v>199</v>
      </c>
      <c r="C246" t="s">
        <v>294</v>
      </c>
      <c r="D246" t="s">
        <v>302</v>
      </c>
      <c r="E246" t="s">
        <v>294</v>
      </c>
      <c r="F246">
        <v>38.198999999999998</v>
      </c>
      <c r="G246">
        <v>15.63</v>
      </c>
      <c r="H246">
        <v>18.076000000000001</v>
      </c>
      <c r="I246" s="2">
        <f t="shared" si="6"/>
        <v>2.1132440805487938</v>
      </c>
      <c r="J246" s="2">
        <f t="shared" si="7"/>
        <v>0.86468245186988268</v>
      </c>
      <c r="K246" t="s">
        <v>278</v>
      </c>
    </row>
    <row r="247" spans="1:27" x14ac:dyDescent="0.4">
      <c r="A247" t="s">
        <v>459</v>
      </c>
      <c r="B247" s="1" t="s">
        <v>199</v>
      </c>
      <c r="C247" s="1" t="s">
        <v>201</v>
      </c>
      <c r="D247" s="1" t="s">
        <v>303</v>
      </c>
      <c r="E247" s="1" t="s">
        <v>287</v>
      </c>
      <c r="F247" s="1">
        <v>38.39</v>
      </c>
      <c r="G247" s="1">
        <v>15.613</v>
      </c>
      <c r="H247" s="1">
        <v>18.059999999999999</v>
      </c>
      <c r="I247" s="2">
        <f t="shared" si="6"/>
        <v>2.1256921373200446</v>
      </c>
      <c r="J247" s="2">
        <f t="shared" si="7"/>
        <v>0.86450719822812849</v>
      </c>
      <c r="K247" s="1" t="s">
        <v>514</v>
      </c>
    </row>
    <row r="248" spans="1:27" x14ac:dyDescent="0.4">
      <c r="A248" t="s">
        <v>459</v>
      </c>
      <c r="B248" t="s">
        <v>199</v>
      </c>
      <c r="C248" t="s">
        <v>294</v>
      </c>
      <c r="D248" t="s">
        <v>304</v>
      </c>
      <c r="E248" t="s">
        <v>294</v>
      </c>
      <c r="F248">
        <v>38.14</v>
      </c>
      <c r="G248">
        <v>15.603</v>
      </c>
      <c r="H248">
        <v>18.05</v>
      </c>
      <c r="I248" s="2">
        <f t="shared" si="6"/>
        <v>2.1130193905817176</v>
      </c>
      <c r="J248" s="2">
        <f t="shared" si="7"/>
        <v>0.86443213296398891</v>
      </c>
      <c r="K248" t="s">
        <v>278</v>
      </c>
    </row>
    <row r="249" spans="1:27" x14ac:dyDescent="0.4">
      <c r="A249" t="s">
        <v>459</v>
      </c>
      <c r="B249" t="s">
        <v>199</v>
      </c>
      <c r="C249" t="s">
        <v>95</v>
      </c>
      <c r="D249" t="s">
        <v>305</v>
      </c>
      <c r="E249" t="s">
        <v>95</v>
      </c>
      <c r="F249">
        <v>38.036000000000001</v>
      </c>
      <c r="G249">
        <v>15.603</v>
      </c>
      <c r="H249">
        <v>18.050999999999998</v>
      </c>
      <c r="I249" s="2">
        <f t="shared" si="6"/>
        <v>2.1071408786216832</v>
      </c>
      <c r="J249" s="2">
        <f t="shared" si="7"/>
        <v>0.86438424464018615</v>
      </c>
      <c r="K249" t="s">
        <v>278</v>
      </c>
    </row>
    <row r="250" spans="1:27" x14ac:dyDescent="0.4">
      <c r="A250" t="s">
        <v>459</v>
      </c>
      <c r="B250" t="s">
        <v>199</v>
      </c>
      <c r="C250" t="s">
        <v>50</v>
      </c>
      <c r="D250" t="s">
        <v>306</v>
      </c>
      <c r="E250" t="s">
        <v>50</v>
      </c>
      <c r="F250">
        <v>38.58</v>
      </c>
      <c r="G250">
        <v>15.99</v>
      </c>
      <c r="H250">
        <v>18.5</v>
      </c>
      <c r="I250" s="2">
        <f t="shared" si="6"/>
        <v>2.0854054054054054</v>
      </c>
      <c r="J250" s="2">
        <f t="shared" si="7"/>
        <v>0.86432432432432438</v>
      </c>
      <c r="K250" t="s">
        <v>307</v>
      </c>
    </row>
    <row r="251" spans="1:27" x14ac:dyDescent="0.4">
      <c r="A251" t="s">
        <v>459</v>
      </c>
      <c r="B251" t="s">
        <v>199</v>
      </c>
      <c r="C251" t="s">
        <v>282</v>
      </c>
      <c r="D251" t="s">
        <v>308</v>
      </c>
      <c r="E251" t="s">
        <v>282</v>
      </c>
      <c r="F251">
        <v>38.011000000000003</v>
      </c>
      <c r="G251">
        <v>15.571</v>
      </c>
      <c r="H251">
        <v>18.018000000000001</v>
      </c>
      <c r="I251" s="2">
        <f t="shared" si="6"/>
        <v>2.1096126096126095</v>
      </c>
      <c r="J251" s="2">
        <f t="shared" si="7"/>
        <v>0.86419136419136411</v>
      </c>
      <c r="K251" t="s">
        <v>284</v>
      </c>
    </row>
    <row r="252" spans="1:27" x14ac:dyDescent="0.4">
      <c r="A252" t="s">
        <v>459</v>
      </c>
      <c r="B252" t="s">
        <v>199</v>
      </c>
      <c r="C252" t="s">
        <v>50</v>
      </c>
      <c r="D252" t="s">
        <v>309</v>
      </c>
      <c r="E252" t="s">
        <v>50</v>
      </c>
      <c r="F252">
        <v>37.35</v>
      </c>
      <c r="G252">
        <v>15.33</v>
      </c>
      <c r="H252">
        <v>17.739999999999998</v>
      </c>
      <c r="I252" s="2">
        <f t="shared" si="6"/>
        <v>2.1054114994363022</v>
      </c>
      <c r="J252" s="2">
        <f t="shared" si="7"/>
        <v>0.86414881623449835</v>
      </c>
      <c r="K252" t="s">
        <v>307</v>
      </c>
    </row>
    <row r="253" spans="1:27" x14ac:dyDescent="0.4">
      <c r="A253" t="s">
        <v>459</v>
      </c>
      <c r="B253" t="s">
        <v>199</v>
      </c>
      <c r="C253" t="s">
        <v>294</v>
      </c>
      <c r="D253"/>
      <c r="E253" t="s">
        <v>294</v>
      </c>
      <c r="F253">
        <v>38.271999999999998</v>
      </c>
      <c r="G253">
        <v>15.651999999999999</v>
      </c>
      <c r="H253">
        <v>18.123000000000001</v>
      </c>
      <c r="I253" s="2">
        <f t="shared" si="6"/>
        <v>2.1117916459747281</v>
      </c>
      <c r="J253" s="2">
        <f t="shared" si="7"/>
        <v>0.86365392043259936</v>
      </c>
      <c r="K253" t="s">
        <v>310</v>
      </c>
    </row>
    <row r="254" spans="1:27" x14ac:dyDescent="0.4">
      <c r="A254" t="s">
        <v>459</v>
      </c>
      <c r="B254" t="s">
        <v>199</v>
      </c>
      <c r="C254" t="s">
        <v>294</v>
      </c>
      <c r="D254" t="s">
        <v>311</v>
      </c>
      <c r="E254" t="s">
        <v>294</v>
      </c>
      <c r="F254">
        <v>38.099200000000003</v>
      </c>
      <c r="G254">
        <v>15.5671</v>
      </c>
      <c r="H254">
        <v>18.024699999999999</v>
      </c>
      <c r="I254" s="2">
        <f t="shared" si="6"/>
        <v>2.1137217262978027</v>
      </c>
      <c r="J254" s="2">
        <f t="shared" si="7"/>
        <v>0.86365376400162008</v>
      </c>
      <c r="K254" t="s">
        <v>278</v>
      </c>
    </row>
    <row r="255" spans="1:27" x14ac:dyDescent="0.4">
      <c r="A255" t="s">
        <v>459</v>
      </c>
      <c r="B255" t="s">
        <v>199</v>
      </c>
      <c r="C255" t="s">
        <v>294</v>
      </c>
      <c r="D255" t="s">
        <v>312</v>
      </c>
      <c r="E255" t="s">
        <v>294</v>
      </c>
      <c r="F255">
        <v>38.271700000000003</v>
      </c>
      <c r="G255">
        <v>15.6516</v>
      </c>
      <c r="H255">
        <v>18.122699999999998</v>
      </c>
      <c r="I255" s="2">
        <f t="shared" si="6"/>
        <v>2.1118100503788071</v>
      </c>
      <c r="J255" s="2">
        <f t="shared" si="7"/>
        <v>0.86364614544190443</v>
      </c>
      <c r="K255" t="s">
        <v>278</v>
      </c>
    </row>
    <row r="256" spans="1:27" x14ac:dyDescent="0.4">
      <c r="A256" t="s">
        <v>459</v>
      </c>
      <c r="B256" t="s">
        <v>199</v>
      </c>
      <c r="C256" t="s">
        <v>237</v>
      </c>
      <c r="D256" t="s">
        <v>313</v>
      </c>
      <c r="E256" t="s">
        <v>237</v>
      </c>
      <c r="F256">
        <v>37.576999999999998</v>
      </c>
      <c r="G256">
        <v>15.401</v>
      </c>
      <c r="H256">
        <v>17.834</v>
      </c>
      <c r="I256" s="2">
        <f t="shared" si="6"/>
        <v>2.1070427273746777</v>
      </c>
      <c r="J256" s="2">
        <f t="shared" si="7"/>
        <v>0.8635751934507121</v>
      </c>
      <c r="K256" t="s">
        <v>27</v>
      </c>
    </row>
    <row r="257" spans="1:11" x14ac:dyDescent="0.4">
      <c r="A257" t="s">
        <v>459</v>
      </c>
      <c r="B257" t="s">
        <v>199</v>
      </c>
      <c r="C257" t="s">
        <v>95</v>
      </c>
      <c r="D257" t="s">
        <v>314</v>
      </c>
      <c r="E257" t="s">
        <v>95</v>
      </c>
      <c r="F257">
        <v>37.994</v>
      </c>
      <c r="G257">
        <v>15.557</v>
      </c>
      <c r="H257">
        <v>18.018000000000001</v>
      </c>
      <c r="I257" s="2">
        <f t="shared" si="6"/>
        <v>2.1086691086691087</v>
      </c>
      <c r="J257" s="2">
        <f t="shared" si="7"/>
        <v>0.86341436341436339</v>
      </c>
      <c r="K257" t="s">
        <v>278</v>
      </c>
    </row>
    <row r="258" spans="1:11" x14ac:dyDescent="0.4">
      <c r="A258" t="s">
        <v>459</v>
      </c>
      <c r="B258" t="s">
        <v>199</v>
      </c>
      <c r="C258" t="s">
        <v>95</v>
      </c>
      <c r="D258" t="s">
        <v>315</v>
      </c>
      <c r="E258" t="s">
        <v>95</v>
      </c>
      <c r="F258">
        <v>38.314999999999998</v>
      </c>
      <c r="G258">
        <v>15.651</v>
      </c>
      <c r="H258">
        <v>18.1327</v>
      </c>
      <c r="I258" s="2">
        <f t="shared" ref="I258:I321" si="8">F258/H258</f>
        <v>2.1130333596210162</v>
      </c>
      <c r="J258" s="2">
        <f t="shared" ref="J258:J321" si="9">G258/H258</f>
        <v>0.86313676396785921</v>
      </c>
      <c r="K258" t="s">
        <v>281</v>
      </c>
    </row>
    <row r="259" spans="1:11" x14ac:dyDescent="0.4">
      <c r="A259" t="s">
        <v>459</v>
      </c>
      <c r="B259" t="s">
        <v>199</v>
      </c>
      <c r="C259" t="s">
        <v>95</v>
      </c>
      <c r="D259" t="s">
        <v>316</v>
      </c>
      <c r="E259" t="s">
        <v>95</v>
      </c>
      <c r="F259">
        <v>38.295999999999999</v>
      </c>
      <c r="G259">
        <v>15.628</v>
      </c>
      <c r="H259">
        <v>18.106999999999999</v>
      </c>
      <c r="I259" s="2">
        <f t="shared" si="8"/>
        <v>2.1149831556856467</v>
      </c>
      <c r="J259" s="2">
        <f t="shared" si="9"/>
        <v>0.86309162202463141</v>
      </c>
      <c r="K259" t="s">
        <v>278</v>
      </c>
    </row>
    <row r="260" spans="1:11" x14ac:dyDescent="0.4">
      <c r="A260" t="s">
        <v>459</v>
      </c>
      <c r="B260" t="s">
        <v>199</v>
      </c>
      <c r="C260" t="s">
        <v>317</v>
      </c>
      <c r="D260" t="s">
        <v>318</v>
      </c>
      <c r="E260" t="s">
        <v>317</v>
      </c>
      <c r="F260">
        <v>38.039000000000001</v>
      </c>
      <c r="G260">
        <v>15.576000000000001</v>
      </c>
      <c r="H260">
        <v>18.056000000000001</v>
      </c>
      <c r="I260" s="2">
        <f t="shared" si="8"/>
        <v>2.106723526805494</v>
      </c>
      <c r="J260" s="2">
        <f t="shared" si="9"/>
        <v>0.86264953478068229</v>
      </c>
      <c r="K260" t="s">
        <v>319</v>
      </c>
    </row>
    <row r="261" spans="1:11" x14ac:dyDescent="0.4">
      <c r="A261" t="s">
        <v>459</v>
      </c>
      <c r="B261" t="s">
        <v>199</v>
      </c>
      <c r="C261" t="s">
        <v>95</v>
      </c>
      <c r="D261" t="s">
        <v>320</v>
      </c>
      <c r="E261" t="s">
        <v>95</v>
      </c>
      <c r="F261">
        <v>38.619999999999997</v>
      </c>
      <c r="G261">
        <v>15.68</v>
      </c>
      <c r="H261">
        <v>18.18</v>
      </c>
      <c r="I261" s="2">
        <f t="shared" si="8"/>
        <v>2.1243124312431241</v>
      </c>
      <c r="J261" s="2">
        <f t="shared" si="9"/>
        <v>0.86248624862486245</v>
      </c>
      <c r="K261" t="s">
        <v>321</v>
      </c>
    </row>
    <row r="262" spans="1:11" x14ac:dyDescent="0.4">
      <c r="A262" t="s">
        <v>459</v>
      </c>
      <c r="B262" t="s">
        <v>199</v>
      </c>
      <c r="C262" t="s">
        <v>95</v>
      </c>
      <c r="D262" t="s">
        <v>322</v>
      </c>
      <c r="E262" t="s">
        <v>95</v>
      </c>
      <c r="F262">
        <v>38.67</v>
      </c>
      <c r="G262">
        <v>15.68</v>
      </c>
      <c r="H262">
        <v>18.18</v>
      </c>
      <c r="I262" s="2">
        <f t="shared" si="8"/>
        <v>2.1270627062706273</v>
      </c>
      <c r="J262" s="2">
        <f t="shared" si="9"/>
        <v>0.86248624862486245</v>
      </c>
      <c r="K262" t="s">
        <v>321</v>
      </c>
    </row>
    <row r="263" spans="1:11" x14ac:dyDescent="0.4">
      <c r="A263" t="s">
        <v>459</v>
      </c>
      <c r="B263" t="s">
        <v>199</v>
      </c>
      <c r="C263" t="s">
        <v>294</v>
      </c>
      <c r="D263" t="s">
        <v>323</v>
      </c>
      <c r="E263" t="s">
        <v>294</v>
      </c>
      <c r="F263">
        <v>38.073999999999998</v>
      </c>
      <c r="G263">
        <v>15.538</v>
      </c>
      <c r="H263">
        <v>18.035</v>
      </c>
      <c r="I263" s="2">
        <f t="shared" si="8"/>
        <v>2.1111172719711671</v>
      </c>
      <c r="J263" s="2">
        <f t="shared" si="9"/>
        <v>0.86154699196007767</v>
      </c>
      <c r="K263" t="s">
        <v>278</v>
      </c>
    </row>
    <row r="264" spans="1:11" x14ac:dyDescent="0.4">
      <c r="A264" t="s">
        <v>459</v>
      </c>
      <c r="B264" t="s">
        <v>199</v>
      </c>
      <c r="C264" t="s">
        <v>324</v>
      </c>
      <c r="D264"/>
      <c r="E264" t="s">
        <v>324</v>
      </c>
      <c r="F264">
        <v>38.447000000000003</v>
      </c>
      <c r="G264">
        <v>15.672000000000001</v>
      </c>
      <c r="H264">
        <v>18.196999999999999</v>
      </c>
      <c r="I264" s="2">
        <f t="shared" si="8"/>
        <v>2.112820794636479</v>
      </c>
      <c r="J264" s="2">
        <f t="shared" si="9"/>
        <v>0.86124086387866139</v>
      </c>
      <c r="K264" t="s">
        <v>325</v>
      </c>
    </row>
    <row r="265" spans="1:11" x14ac:dyDescent="0.4">
      <c r="A265" t="s">
        <v>459</v>
      </c>
      <c r="B265" t="s">
        <v>199</v>
      </c>
      <c r="C265" t="s">
        <v>294</v>
      </c>
      <c r="D265" t="s">
        <v>326</v>
      </c>
      <c r="E265" t="s">
        <v>294</v>
      </c>
      <c r="F265">
        <v>37.771000000000001</v>
      </c>
      <c r="G265">
        <v>15.114000000000001</v>
      </c>
      <c r="H265">
        <v>17.55</v>
      </c>
      <c r="I265" s="2">
        <f t="shared" si="8"/>
        <v>2.1521937321937323</v>
      </c>
      <c r="J265" s="2">
        <f t="shared" si="9"/>
        <v>0.86119658119658116</v>
      </c>
      <c r="K265" t="s">
        <v>327</v>
      </c>
    </row>
    <row r="266" spans="1:11" x14ac:dyDescent="0.4">
      <c r="A266" t="s">
        <v>459</v>
      </c>
      <c r="B266" t="s">
        <v>199</v>
      </c>
      <c r="C266" t="s">
        <v>294</v>
      </c>
      <c r="D266" t="s">
        <v>328</v>
      </c>
      <c r="E266" t="s">
        <v>294</v>
      </c>
      <c r="F266">
        <v>37.999600000000001</v>
      </c>
      <c r="G266">
        <v>15.568300000000001</v>
      </c>
      <c r="H266">
        <v>18.082999999999998</v>
      </c>
      <c r="I266" s="2">
        <f t="shared" si="8"/>
        <v>2.1013991041309521</v>
      </c>
      <c r="J266" s="2">
        <f t="shared" si="9"/>
        <v>0.8609356854504232</v>
      </c>
      <c r="K266" t="s">
        <v>278</v>
      </c>
    </row>
    <row r="267" spans="1:11" x14ac:dyDescent="0.4">
      <c r="A267" t="s">
        <v>459</v>
      </c>
      <c r="B267" t="s">
        <v>199</v>
      </c>
      <c r="C267" t="s">
        <v>95</v>
      </c>
      <c r="D267" t="s">
        <v>329</v>
      </c>
      <c r="E267" t="s">
        <v>95</v>
      </c>
      <c r="F267">
        <v>38.28</v>
      </c>
      <c r="G267">
        <v>15.59</v>
      </c>
      <c r="H267">
        <v>18.12</v>
      </c>
      <c r="I267" s="2">
        <f t="shared" si="8"/>
        <v>2.1125827814569536</v>
      </c>
      <c r="J267" s="2">
        <f t="shared" si="9"/>
        <v>0.86037527593818974</v>
      </c>
      <c r="K267" t="s">
        <v>321</v>
      </c>
    </row>
    <row r="268" spans="1:11" x14ac:dyDescent="0.4">
      <c r="A268" t="s">
        <v>459</v>
      </c>
      <c r="B268" t="s">
        <v>199</v>
      </c>
      <c r="C268" t="s">
        <v>330</v>
      </c>
      <c r="D268" t="s">
        <v>331</v>
      </c>
      <c r="E268" t="s">
        <v>330</v>
      </c>
      <c r="F268">
        <v>38.29</v>
      </c>
      <c r="G268">
        <v>15.573</v>
      </c>
      <c r="H268">
        <v>18.103999999999999</v>
      </c>
      <c r="I268" s="2">
        <f t="shared" si="8"/>
        <v>2.1150022094564735</v>
      </c>
      <c r="J268" s="2">
        <f t="shared" si="9"/>
        <v>0.86019664162616005</v>
      </c>
      <c r="K268" t="s">
        <v>332</v>
      </c>
    </row>
    <row r="269" spans="1:11" x14ac:dyDescent="0.4">
      <c r="A269" t="s">
        <v>459</v>
      </c>
      <c r="B269" s="1" t="s">
        <v>199</v>
      </c>
      <c r="C269" s="1" t="s">
        <v>232</v>
      </c>
      <c r="D269" s="1" t="s">
        <v>333</v>
      </c>
      <c r="E269" s="1" t="s">
        <v>108</v>
      </c>
      <c r="F269" s="1">
        <v>38.637300000000003</v>
      </c>
      <c r="G269" s="1">
        <v>15.655200000000001</v>
      </c>
      <c r="H269" s="1">
        <v>18.200199999999999</v>
      </c>
      <c r="I269" s="2">
        <f t="shared" si="8"/>
        <v>2.1229052427995301</v>
      </c>
      <c r="J269" s="2">
        <f t="shared" si="9"/>
        <v>0.86016637179811217</v>
      </c>
      <c r="K269" s="1" t="s">
        <v>334</v>
      </c>
    </row>
    <row r="270" spans="1:11" x14ac:dyDescent="0.4">
      <c r="A270" t="s">
        <v>459</v>
      </c>
      <c r="B270" t="s">
        <v>199</v>
      </c>
      <c r="C270" t="s">
        <v>324</v>
      </c>
      <c r="D270"/>
      <c r="E270" t="s">
        <v>324</v>
      </c>
      <c r="F270">
        <v>38.374000000000002</v>
      </c>
      <c r="G270">
        <v>15.601000000000001</v>
      </c>
      <c r="H270">
        <v>18.14</v>
      </c>
      <c r="I270" s="2">
        <f t="shared" si="8"/>
        <v>2.115435501653804</v>
      </c>
      <c r="J270" s="2">
        <f t="shared" si="9"/>
        <v>0.86003307607497248</v>
      </c>
      <c r="K270" t="s">
        <v>325</v>
      </c>
    </row>
    <row r="271" spans="1:11" x14ac:dyDescent="0.4">
      <c r="A271" t="s">
        <v>459</v>
      </c>
      <c r="B271" t="s">
        <v>199</v>
      </c>
      <c r="C271" t="s">
        <v>335</v>
      </c>
      <c r="D271" t="s">
        <v>336</v>
      </c>
      <c r="E271" t="s">
        <v>335</v>
      </c>
      <c r="F271">
        <v>38.151000000000003</v>
      </c>
      <c r="G271">
        <v>15.561999999999999</v>
      </c>
      <c r="H271">
        <v>18.111999999999998</v>
      </c>
      <c r="I271" s="2">
        <f t="shared" si="8"/>
        <v>2.1063935512367493</v>
      </c>
      <c r="J271" s="2">
        <f t="shared" si="9"/>
        <v>0.85920936395759717</v>
      </c>
      <c r="K271" t="s">
        <v>337</v>
      </c>
    </row>
    <row r="272" spans="1:11" x14ac:dyDescent="0.4">
      <c r="A272" t="s">
        <v>459</v>
      </c>
      <c r="B272" s="1" t="s">
        <v>199</v>
      </c>
      <c r="C272" s="1" t="s">
        <v>201</v>
      </c>
      <c r="D272" s="1" t="s">
        <v>338</v>
      </c>
      <c r="E272" s="1" t="s">
        <v>108</v>
      </c>
      <c r="F272" s="1">
        <v>38.470999999999997</v>
      </c>
      <c r="G272" s="1">
        <v>15.62</v>
      </c>
      <c r="H272" s="1">
        <v>18.213000000000001</v>
      </c>
      <c r="I272" s="2">
        <f t="shared" si="8"/>
        <v>2.1122824356229066</v>
      </c>
      <c r="J272" s="2">
        <f t="shared" si="9"/>
        <v>0.85762916598034367</v>
      </c>
      <c r="K272" s="1" t="s">
        <v>515</v>
      </c>
    </row>
    <row r="273" spans="1:27" x14ac:dyDescent="0.4">
      <c r="A273" t="s">
        <v>459</v>
      </c>
      <c r="B273" t="s">
        <v>199</v>
      </c>
      <c r="C273" t="s">
        <v>50</v>
      </c>
      <c r="D273" t="s">
        <v>339</v>
      </c>
      <c r="E273" t="s">
        <v>50</v>
      </c>
      <c r="F273">
        <v>38.700000000000003</v>
      </c>
      <c r="G273">
        <v>15.55</v>
      </c>
      <c r="H273">
        <v>18.28</v>
      </c>
      <c r="I273" s="2">
        <f t="shared" si="8"/>
        <v>2.1170678336980306</v>
      </c>
      <c r="J273" s="2">
        <f t="shared" si="9"/>
        <v>0.85065645514223198</v>
      </c>
      <c r="K273" t="s">
        <v>307</v>
      </c>
    </row>
    <row r="274" spans="1:27" x14ac:dyDescent="0.4">
      <c r="A274" t="s">
        <v>459</v>
      </c>
      <c r="B274" t="s">
        <v>199</v>
      </c>
      <c r="C274" t="s">
        <v>294</v>
      </c>
      <c r="D274"/>
      <c r="E274" t="s">
        <v>294</v>
      </c>
      <c r="F274">
        <v>38.01</v>
      </c>
      <c r="G274">
        <v>15.677</v>
      </c>
      <c r="H274">
        <v>18.547999999999998</v>
      </c>
      <c r="I274" s="2">
        <f t="shared" si="8"/>
        <v>2.049277550140177</v>
      </c>
      <c r="J274" s="2">
        <f t="shared" si="9"/>
        <v>0.84521242182445555</v>
      </c>
      <c r="K274" t="s">
        <v>310</v>
      </c>
    </row>
    <row r="275" spans="1:27" x14ac:dyDescent="0.4">
      <c r="A275" t="s">
        <v>459</v>
      </c>
      <c r="B275" s="1" t="s">
        <v>199</v>
      </c>
      <c r="C275" s="1" t="s">
        <v>232</v>
      </c>
      <c r="D275" s="1" t="s">
        <v>340</v>
      </c>
      <c r="E275" s="1" t="s">
        <v>234</v>
      </c>
      <c r="F275" s="1">
        <v>39.433300000000003</v>
      </c>
      <c r="G275" s="1">
        <v>16.1021</v>
      </c>
      <c r="H275" s="1">
        <v>19.139500000000002</v>
      </c>
      <c r="I275" s="2">
        <f t="shared" si="8"/>
        <v>2.0603098304553411</v>
      </c>
      <c r="J275" s="2">
        <f t="shared" si="9"/>
        <v>0.8413020193839964</v>
      </c>
      <c r="K275" s="1" t="s">
        <v>516</v>
      </c>
    </row>
    <row r="276" spans="1:27" x14ac:dyDescent="0.4">
      <c r="A276" t="s">
        <v>460</v>
      </c>
      <c r="B276" t="s">
        <v>341</v>
      </c>
      <c r="D276" s="1" t="s">
        <v>342</v>
      </c>
      <c r="F276" s="1">
        <v>38.658999999999999</v>
      </c>
      <c r="G276" s="1">
        <v>16.652999999999999</v>
      </c>
      <c r="H276" s="1">
        <v>18.835000000000001</v>
      </c>
      <c r="I276" s="2">
        <f t="shared" si="8"/>
        <v>2.0525086275550835</v>
      </c>
      <c r="J276" s="2">
        <f t="shared" si="9"/>
        <v>0.88415184496947163</v>
      </c>
      <c r="K276" s="1" t="s">
        <v>526</v>
      </c>
    </row>
    <row r="277" spans="1:27" x14ac:dyDescent="0.4">
      <c r="A277" t="s">
        <v>460</v>
      </c>
      <c r="B277" t="s">
        <v>341</v>
      </c>
      <c r="D277" s="1" t="s">
        <v>343</v>
      </c>
      <c r="F277" s="1">
        <v>38.094000000000001</v>
      </c>
      <c r="G277" s="1">
        <v>15.58</v>
      </c>
      <c r="H277" s="1">
        <v>18.03</v>
      </c>
      <c r="I277" s="2">
        <f t="shared" si="8"/>
        <v>2.1128119800332779</v>
      </c>
      <c r="J277" s="2">
        <f t="shared" si="9"/>
        <v>0.86411536328341643</v>
      </c>
      <c r="K277" s="1" t="s">
        <v>527</v>
      </c>
    </row>
    <row r="278" spans="1:27" x14ac:dyDescent="0.4">
      <c r="A278" t="s">
        <v>460</v>
      </c>
      <c r="B278" t="s">
        <v>341</v>
      </c>
      <c r="D278" s="1" t="s">
        <v>344</v>
      </c>
      <c r="F278" s="1">
        <v>38.552</v>
      </c>
      <c r="G278" s="1">
        <v>15.714</v>
      </c>
      <c r="H278" s="1">
        <v>18.213000000000001</v>
      </c>
      <c r="I278" s="2">
        <f t="shared" si="8"/>
        <v>2.1167298083786306</v>
      </c>
      <c r="J278" s="2">
        <f t="shared" si="9"/>
        <v>0.86279031461044309</v>
      </c>
      <c r="K278" s="1" t="s">
        <v>529</v>
      </c>
    </row>
    <row r="279" spans="1:27" x14ac:dyDescent="0.4">
      <c r="A279" t="s">
        <v>460</v>
      </c>
      <c r="B279" t="s">
        <v>341</v>
      </c>
      <c r="D279" s="1" t="s">
        <v>345</v>
      </c>
      <c r="F279" s="1">
        <v>38.630000000000003</v>
      </c>
      <c r="G279" s="1">
        <v>15.715999999999999</v>
      </c>
      <c r="H279" s="1">
        <v>18.277999999999999</v>
      </c>
      <c r="I279" s="2">
        <f t="shared" si="8"/>
        <v>2.1134697450486928</v>
      </c>
      <c r="J279" s="2">
        <f t="shared" si="9"/>
        <v>0.8598314914104388</v>
      </c>
      <c r="K279" s="1" t="s">
        <v>528</v>
      </c>
    </row>
    <row r="280" spans="1:27" x14ac:dyDescent="0.4">
      <c r="A280" t="s">
        <v>460</v>
      </c>
      <c r="B280" t="s">
        <v>341</v>
      </c>
      <c r="D280" s="1" t="s">
        <v>346</v>
      </c>
      <c r="F280" s="1">
        <v>38.35</v>
      </c>
      <c r="G280" s="1">
        <v>15.59</v>
      </c>
      <c r="H280" s="1">
        <v>18.170000000000002</v>
      </c>
      <c r="I280" s="2">
        <f t="shared" si="8"/>
        <v>2.1106219042377545</v>
      </c>
      <c r="J280" s="2">
        <f t="shared" si="9"/>
        <v>0.85800770500825529</v>
      </c>
      <c r="K280" s="1" t="s">
        <v>530</v>
      </c>
    </row>
    <row r="281" spans="1:27" x14ac:dyDescent="0.4">
      <c r="A281" t="s">
        <v>460</v>
      </c>
      <c r="B281" t="s">
        <v>341</v>
      </c>
      <c r="D281" s="1" t="s">
        <v>347</v>
      </c>
      <c r="F281" s="1">
        <v>38.481999999999999</v>
      </c>
      <c r="G281" s="1">
        <v>15.622</v>
      </c>
      <c r="H281" s="1">
        <v>18.231000000000002</v>
      </c>
      <c r="I281" s="2">
        <f t="shared" si="8"/>
        <v>2.1108002852284566</v>
      </c>
      <c r="J281" s="2">
        <f t="shared" si="9"/>
        <v>0.85689210685096806</v>
      </c>
      <c r="K281" s="1" t="s">
        <v>531</v>
      </c>
    </row>
    <row r="282" spans="1:27" x14ac:dyDescent="0.4">
      <c r="A282" t="s">
        <v>460</v>
      </c>
      <c r="B282" t="s">
        <v>341</v>
      </c>
      <c r="C282" t="s">
        <v>348</v>
      </c>
      <c r="D282" t="s">
        <v>349</v>
      </c>
      <c r="E282" t="s">
        <v>350</v>
      </c>
      <c r="F282">
        <v>38.561</v>
      </c>
      <c r="G282">
        <v>15.724</v>
      </c>
      <c r="H282">
        <v>18.366</v>
      </c>
      <c r="I282" s="2">
        <f t="shared" si="8"/>
        <v>2.099586191876293</v>
      </c>
      <c r="J282" s="2">
        <f t="shared" si="9"/>
        <v>0.85614722857453995</v>
      </c>
      <c r="K282" s="1" t="s">
        <v>533</v>
      </c>
    </row>
    <row r="283" spans="1:27" s="4" customFormat="1" x14ac:dyDescent="0.4">
      <c r="A283" t="s">
        <v>460</v>
      </c>
      <c r="B283" t="s">
        <v>341</v>
      </c>
      <c r="C283" t="s">
        <v>348</v>
      </c>
      <c r="D283" t="s">
        <v>351</v>
      </c>
      <c r="E283" t="s">
        <v>352</v>
      </c>
      <c r="F283">
        <v>38.942999999999998</v>
      </c>
      <c r="G283">
        <v>15.685</v>
      </c>
      <c r="H283">
        <v>18.332000000000001</v>
      </c>
      <c r="I283" s="2">
        <f t="shared" si="8"/>
        <v>2.1243181322277982</v>
      </c>
      <c r="J283" s="2">
        <f t="shared" si="9"/>
        <v>0.85560768055858605</v>
      </c>
      <c r="K283" s="1" t="s">
        <v>534</v>
      </c>
      <c r="L283" s="1"/>
      <c r="M283" s="1"/>
      <c r="N283" s="1"/>
      <c r="O283" s="1"/>
      <c r="P283" s="1"/>
      <c r="Q283" s="1"/>
      <c r="R283" s="1"/>
      <c r="S283" s="1"/>
      <c r="T283" s="1"/>
      <c r="U283" s="1"/>
      <c r="V283" s="1"/>
      <c r="W283" s="1"/>
      <c r="X283" s="1"/>
      <c r="Y283" s="1"/>
      <c r="Z283" s="1"/>
      <c r="AA283" s="1"/>
    </row>
    <row r="284" spans="1:27" s="4" customFormat="1" x14ac:dyDescent="0.4">
      <c r="A284" t="s">
        <v>460</v>
      </c>
      <c r="B284" t="s">
        <v>341</v>
      </c>
      <c r="C284" s="1"/>
      <c r="D284" s="1" t="s">
        <v>353</v>
      </c>
      <c r="E284" s="1"/>
      <c r="F284" s="1">
        <v>38.515000000000001</v>
      </c>
      <c r="G284" s="1">
        <v>15.625999999999999</v>
      </c>
      <c r="H284" s="1">
        <v>18.27</v>
      </c>
      <c r="I284" s="2">
        <f t="shared" si="8"/>
        <v>2.1081007115489876</v>
      </c>
      <c r="J284" s="2">
        <f t="shared" si="9"/>
        <v>0.8552818828680897</v>
      </c>
      <c r="K284" s="1" t="s">
        <v>535</v>
      </c>
      <c r="L284" s="1"/>
      <c r="M284" s="1"/>
      <c r="N284" s="1"/>
      <c r="O284" s="1"/>
      <c r="P284" s="1"/>
      <c r="Q284" s="1"/>
      <c r="R284" s="1"/>
      <c r="S284" s="1"/>
      <c r="T284" s="1"/>
      <c r="U284" s="1"/>
      <c r="V284" s="1"/>
      <c r="W284" s="1"/>
      <c r="X284" s="1"/>
      <c r="Y284" s="1"/>
      <c r="Z284" s="1"/>
      <c r="AA284" s="1"/>
    </row>
    <row r="285" spans="1:27" x14ac:dyDescent="0.4">
      <c r="A285" t="s">
        <v>460</v>
      </c>
      <c r="B285" t="s">
        <v>341</v>
      </c>
      <c r="D285" s="1" t="s">
        <v>354</v>
      </c>
      <c r="F285" s="1">
        <v>38.232999999999997</v>
      </c>
      <c r="G285" s="1">
        <v>15.551</v>
      </c>
      <c r="H285" s="1">
        <v>18.196999999999999</v>
      </c>
      <c r="I285" s="2">
        <f t="shared" si="8"/>
        <v>2.101060614386987</v>
      </c>
      <c r="J285" s="2">
        <f t="shared" si="9"/>
        <v>0.85459141616750023</v>
      </c>
      <c r="K285" s="1" t="s">
        <v>536</v>
      </c>
    </row>
    <row r="286" spans="1:27" x14ac:dyDescent="0.4">
      <c r="A286" t="s">
        <v>460</v>
      </c>
      <c r="B286" t="s">
        <v>341</v>
      </c>
      <c r="C286" t="s">
        <v>348</v>
      </c>
      <c r="D286" t="s">
        <v>355</v>
      </c>
      <c r="E286" t="s">
        <v>352</v>
      </c>
      <c r="F286">
        <v>38.814</v>
      </c>
      <c r="G286">
        <v>15.672000000000001</v>
      </c>
      <c r="H286">
        <v>18.343</v>
      </c>
      <c r="I286" s="2">
        <f t="shared" si="8"/>
        <v>2.1160115575423868</v>
      </c>
      <c r="J286" s="2">
        <f t="shared" si="9"/>
        <v>0.85438586926893101</v>
      </c>
      <c r="K286" s="1" t="s">
        <v>537</v>
      </c>
    </row>
    <row r="287" spans="1:27" x14ac:dyDescent="0.4">
      <c r="A287" t="s">
        <v>460</v>
      </c>
      <c r="B287" t="s">
        <v>341</v>
      </c>
      <c r="C287" t="s">
        <v>348</v>
      </c>
      <c r="D287" t="s">
        <v>356</v>
      </c>
      <c r="E287" t="s">
        <v>352</v>
      </c>
      <c r="F287">
        <v>39.012999999999998</v>
      </c>
      <c r="G287">
        <v>15.817</v>
      </c>
      <c r="H287">
        <v>18.518999999999998</v>
      </c>
      <c r="I287" s="2">
        <f t="shared" si="8"/>
        <v>2.1066472271720937</v>
      </c>
      <c r="J287" s="2">
        <f t="shared" si="9"/>
        <v>0.85409579350936882</v>
      </c>
      <c r="K287" s="1" t="s">
        <v>538</v>
      </c>
    </row>
    <row r="288" spans="1:27" x14ac:dyDescent="0.4">
      <c r="A288" t="s">
        <v>460</v>
      </c>
      <c r="B288" t="s">
        <v>341</v>
      </c>
      <c r="D288" s="1" t="s">
        <v>357</v>
      </c>
      <c r="F288" s="1">
        <v>38.603000000000002</v>
      </c>
      <c r="G288">
        <v>15.673</v>
      </c>
      <c r="H288" s="1">
        <v>18.369</v>
      </c>
      <c r="I288" s="2">
        <f t="shared" si="8"/>
        <v>2.1015297512112801</v>
      </c>
      <c r="J288" s="2">
        <f t="shared" si="9"/>
        <v>0.85323098698894884</v>
      </c>
      <c r="K288" s="1" t="s">
        <v>539</v>
      </c>
    </row>
    <row r="289" spans="1:27" x14ac:dyDescent="0.4">
      <c r="A289" t="s">
        <v>460</v>
      </c>
      <c r="B289" t="s">
        <v>341</v>
      </c>
      <c r="C289" t="s">
        <v>348</v>
      </c>
      <c r="D289" t="s">
        <v>358</v>
      </c>
      <c r="E289" t="s">
        <v>352</v>
      </c>
      <c r="F289">
        <v>39.012</v>
      </c>
      <c r="G289">
        <v>15.737</v>
      </c>
      <c r="H289">
        <v>18.451000000000001</v>
      </c>
      <c r="I289" s="2">
        <f t="shared" si="8"/>
        <v>2.1143569454230122</v>
      </c>
      <c r="J289" s="2">
        <f t="shared" si="9"/>
        <v>0.8529077014795946</v>
      </c>
      <c r="K289" s="1" t="s">
        <v>540</v>
      </c>
    </row>
    <row r="290" spans="1:27" x14ac:dyDescent="0.4">
      <c r="A290" t="s">
        <v>460</v>
      </c>
      <c r="B290" t="s">
        <v>341</v>
      </c>
      <c r="D290" s="1" t="s">
        <v>359</v>
      </c>
      <c r="F290" s="1">
        <v>38.435000000000002</v>
      </c>
      <c r="G290" s="1">
        <v>15.625999999999999</v>
      </c>
      <c r="H290" s="1">
        <v>18.327000000000002</v>
      </c>
      <c r="I290" s="2">
        <f t="shared" si="8"/>
        <v>2.0971790254815299</v>
      </c>
      <c r="J290" s="2">
        <f t="shared" si="9"/>
        <v>0.85262181480875199</v>
      </c>
      <c r="K290" s="1" t="s">
        <v>541</v>
      </c>
    </row>
    <row r="291" spans="1:27" x14ac:dyDescent="0.4">
      <c r="A291" t="s">
        <v>460</v>
      </c>
      <c r="B291" t="s">
        <v>341</v>
      </c>
      <c r="D291" s="1" t="s">
        <v>360</v>
      </c>
      <c r="F291" s="1">
        <v>38.512</v>
      </c>
      <c r="G291" s="1">
        <v>15.645</v>
      </c>
      <c r="H291" s="1">
        <v>18.359000000000002</v>
      </c>
      <c r="I291" s="2">
        <f t="shared" si="8"/>
        <v>2.0977177406176803</v>
      </c>
      <c r="J291" s="2">
        <f t="shared" si="9"/>
        <v>0.85217059752709834</v>
      </c>
      <c r="K291" s="1" t="s">
        <v>543</v>
      </c>
    </row>
    <row r="292" spans="1:27" x14ac:dyDescent="0.4">
      <c r="A292" t="s">
        <v>460</v>
      </c>
      <c r="B292" t="s">
        <v>341</v>
      </c>
      <c r="C292" t="s">
        <v>348</v>
      </c>
      <c r="D292" t="s">
        <v>361</v>
      </c>
      <c r="E292" t="s">
        <v>350</v>
      </c>
      <c r="F292">
        <v>38.753999999999998</v>
      </c>
      <c r="G292">
        <v>15.709</v>
      </c>
      <c r="H292">
        <v>18.436</v>
      </c>
      <c r="I292" s="2">
        <f t="shared" si="8"/>
        <v>2.1020828813191579</v>
      </c>
      <c r="J292" s="2">
        <f t="shared" si="9"/>
        <v>0.8520828813191581</v>
      </c>
      <c r="K292" s="1" t="s">
        <v>544</v>
      </c>
    </row>
    <row r="293" spans="1:27" x14ac:dyDescent="0.4">
      <c r="A293" t="s">
        <v>460</v>
      </c>
      <c r="B293" t="s">
        <v>341</v>
      </c>
      <c r="C293" t="s">
        <v>348</v>
      </c>
      <c r="D293" t="s">
        <v>362</v>
      </c>
      <c r="E293" t="s">
        <v>352</v>
      </c>
      <c r="F293">
        <v>38.758000000000003</v>
      </c>
      <c r="G293">
        <v>15.651</v>
      </c>
      <c r="H293">
        <v>18.373000000000001</v>
      </c>
      <c r="I293" s="2">
        <f t="shared" si="8"/>
        <v>2.109508517933925</v>
      </c>
      <c r="J293" s="2">
        <f t="shared" si="9"/>
        <v>0.85184782017090288</v>
      </c>
      <c r="K293" s="1" t="s">
        <v>545</v>
      </c>
    </row>
    <row r="294" spans="1:27" x14ac:dyDescent="0.4">
      <c r="A294" t="s">
        <v>460</v>
      </c>
      <c r="B294" t="s">
        <v>341</v>
      </c>
      <c r="C294" t="s">
        <v>348</v>
      </c>
      <c r="D294" t="s">
        <v>363</v>
      </c>
      <c r="E294" t="s">
        <v>350</v>
      </c>
      <c r="F294">
        <v>38.137999999999998</v>
      </c>
      <c r="G294">
        <v>15.364000000000001</v>
      </c>
      <c r="H294">
        <v>18.041</v>
      </c>
      <c r="I294" s="2">
        <f t="shared" si="8"/>
        <v>2.1139626406518484</v>
      </c>
      <c r="J294" s="2">
        <f t="shared" si="9"/>
        <v>0.85161576409289952</v>
      </c>
      <c r="K294" s="1" t="s">
        <v>546</v>
      </c>
      <c r="L294"/>
      <c r="M294"/>
      <c r="N294"/>
      <c r="O294"/>
      <c r="P294"/>
      <c r="Q294"/>
      <c r="R294"/>
      <c r="S294"/>
      <c r="T294"/>
      <c r="U294"/>
      <c r="V294"/>
      <c r="W294"/>
      <c r="X294"/>
      <c r="Y294"/>
      <c r="Z294"/>
      <c r="AA294"/>
    </row>
    <row r="295" spans="1:27" x14ac:dyDescent="0.4">
      <c r="A295" t="s">
        <v>460</v>
      </c>
      <c r="B295" t="s">
        <v>341</v>
      </c>
      <c r="C295" t="s">
        <v>348</v>
      </c>
      <c r="D295" t="s">
        <v>364</v>
      </c>
      <c r="E295" t="s">
        <v>350</v>
      </c>
      <c r="F295">
        <v>38.686</v>
      </c>
      <c r="G295">
        <v>15.648999999999999</v>
      </c>
      <c r="H295">
        <v>18.382000000000001</v>
      </c>
      <c r="I295" s="2">
        <f t="shared" si="8"/>
        <v>2.1045588075291044</v>
      </c>
      <c r="J295" s="2">
        <f t="shared" si="9"/>
        <v>0.8513219453813512</v>
      </c>
      <c r="K295" s="1" t="s">
        <v>547</v>
      </c>
    </row>
    <row r="296" spans="1:27" x14ac:dyDescent="0.4">
      <c r="A296" t="s">
        <v>460</v>
      </c>
      <c r="B296" t="s">
        <v>341</v>
      </c>
      <c r="C296" t="s">
        <v>348</v>
      </c>
      <c r="D296" t="s">
        <v>365</v>
      </c>
      <c r="E296" t="s">
        <v>350</v>
      </c>
      <c r="F296">
        <v>38.338000000000001</v>
      </c>
      <c r="G296">
        <v>15.499000000000001</v>
      </c>
      <c r="H296">
        <v>18.216000000000001</v>
      </c>
      <c r="I296" s="2">
        <f t="shared" si="8"/>
        <v>2.1046332894158981</v>
      </c>
      <c r="J296" s="2">
        <f t="shared" si="9"/>
        <v>0.85084541062801933</v>
      </c>
      <c r="K296" s="1" t="s">
        <v>532</v>
      </c>
    </row>
    <row r="297" spans="1:27" x14ac:dyDescent="0.4">
      <c r="A297" t="s">
        <v>460</v>
      </c>
      <c r="B297" t="s">
        <v>341</v>
      </c>
      <c r="C297" t="s">
        <v>348</v>
      </c>
      <c r="D297" t="s">
        <v>366</v>
      </c>
      <c r="E297" t="s">
        <v>367</v>
      </c>
      <c r="F297">
        <v>38.677</v>
      </c>
      <c r="G297">
        <v>15.648</v>
      </c>
      <c r="H297">
        <v>18.396000000000001</v>
      </c>
      <c r="I297" s="2">
        <f t="shared" si="8"/>
        <v>2.1024679278103933</v>
      </c>
      <c r="J297" s="2">
        <f t="shared" si="9"/>
        <v>0.85061969993476838</v>
      </c>
      <c r="K297" s="1" t="s">
        <v>548</v>
      </c>
    </row>
    <row r="298" spans="1:27" x14ac:dyDescent="0.4">
      <c r="A298" t="s">
        <v>460</v>
      </c>
      <c r="B298" t="s">
        <v>341</v>
      </c>
      <c r="C298" t="s">
        <v>348</v>
      </c>
      <c r="D298" t="s">
        <v>368</v>
      </c>
      <c r="E298" t="s">
        <v>367</v>
      </c>
      <c r="F298">
        <v>38.667999999999999</v>
      </c>
      <c r="G298">
        <v>15.646000000000001</v>
      </c>
      <c r="H298">
        <v>18.393999999999998</v>
      </c>
      <c r="I298" s="2">
        <f t="shared" si="8"/>
        <v>2.1022072414917909</v>
      </c>
      <c r="J298" s="2">
        <f t="shared" si="9"/>
        <v>0.85060345764923362</v>
      </c>
      <c r="K298" s="1" t="s">
        <v>549</v>
      </c>
    </row>
    <row r="299" spans="1:27" x14ac:dyDescent="0.4">
      <c r="A299" t="s">
        <v>460</v>
      </c>
      <c r="B299" t="s">
        <v>341</v>
      </c>
      <c r="C299" t="s">
        <v>348</v>
      </c>
      <c r="D299" t="s">
        <v>369</v>
      </c>
      <c r="E299" t="s">
        <v>350</v>
      </c>
      <c r="F299">
        <v>38.686999999999998</v>
      </c>
      <c r="G299">
        <v>15.651</v>
      </c>
      <c r="H299">
        <v>18.402000000000001</v>
      </c>
      <c r="I299" s="2">
        <f t="shared" si="8"/>
        <v>2.1023258341484619</v>
      </c>
      <c r="J299" s="2">
        <f t="shared" si="9"/>
        <v>0.85050537985001629</v>
      </c>
      <c r="K299" s="1" t="s">
        <v>550</v>
      </c>
    </row>
    <row r="300" spans="1:27" x14ac:dyDescent="0.4">
      <c r="A300" t="s">
        <v>460</v>
      </c>
      <c r="B300" t="s">
        <v>341</v>
      </c>
      <c r="C300" t="s">
        <v>348</v>
      </c>
      <c r="D300" t="s">
        <v>370</v>
      </c>
      <c r="E300" t="s">
        <v>367</v>
      </c>
      <c r="F300">
        <v>38.738</v>
      </c>
      <c r="G300">
        <v>15.662000000000001</v>
      </c>
      <c r="H300">
        <v>18.417999999999999</v>
      </c>
      <c r="I300" s="2">
        <f t="shared" si="8"/>
        <v>2.1032685416440438</v>
      </c>
      <c r="J300" s="2">
        <f t="shared" si="9"/>
        <v>0.8503637745683571</v>
      </c>
      <c r="K300" s="1" t="s">
        <v>551</v>
      </c>
    </row>
    <row r="301" spans="1:27" x14ac:dyDescent="0.4">
      <c r="A301" t="s">
        <v>460</v>
      </c>
      <c r="B301" t="s">
        <v>341</v>
      </c>
      <c r="C301" t="s">
        <v>348</v>
      </c>
      <c r="D301" t="s">
        <v>371</v>
      </c>
      <c r="E301" t="s">
        <v>367</v>
      </c>
      <c r="F301">
        <v>38.648000000000003</v>
      </c>
      <c r="G301">
        <v>15.638999999999999</v>
      </c>
      <c r="H301">
        <v>18.393000000000001</v>
      </c>
      <c r="I301" s="2">
        <f t="shared" si="8"/>
        <v>2.1012341651715327</v>
      </c>
      <c r="J301" s="2">
        <f t="shared" si="9"/>
        <v>0.85026912412330768</v>
      </c>
      <c r="K301" s="1" t="s">
        <v>552</v>
      </c>
    </row>
    <row r="302" spans="1:27" x14ac:dyDescent="0.4">
      <c r="A302" t="s">
        <v>460</v>
      </c>
      <c r="B302" t="s">
        <v>341</v>
      </c>
      <c r="C302" t="s">
        <v>348</v>
      </c>
      <c r="D302" t="s">
        <v>372</v>
      </c>
      <c r="E302" t="s">
        <v>352</v>
      </c>
      <c r="F302">
        <v>39.021000000000001</v>
      </c>
      <c r="G302">
        <v>15.692</v>
      </c>
      <c r="H302">
        <v>18.463000000000001</v>
      </c>
      <c r="I302" s="2">
        <f t="shared" si="8"/>
        <v>2.1134701836104641</v>
      </c>
      <c r="J302" s="2">
        <f t="shared" si="9"/>
        <v>0.84991604831284184</v>
      </c>
      <c r="K302" s="1" t="s">
        <v>553</v>
      </c>
    </row>
    <row r="303" spans="1:27" x14ac:dyDescent="0.4">
      <c r="A303" t="s">
        <v>460</v>
      </c>
      <c r="B303" t="s">
        <v>341</v>
      </c>
      <c r="D303" s="1" t="s">
        <v>373</v>
      </c>
      <c r="F303" s="1">
        <v>38.271999999999998</v>
      </c>
      <c r="G303" s="1">
        <v>15.6</v>
      </c>
      <c r="H303" s="1">
        <v>18.356000000000002</v>
      </c>
      <c r="I303" s="2">
        <f t="shared" si="8"/>
        <v>2.0849858356940509</v>
      </c>
      <c r="J303" s="2">
        <f t="shared" si="9"/>
        <v>0.84985835694050982</v>
      </c>
      <c r="K303" s="1" t="s">
        <v>554</v>
      </c>
    </row>
    <row r="304" spans="1:27" x14ac:dyDescent="0.4">
      <c r="A304" t="s">
        <v>460</v>
      </c>
      <c r="B304" t="s">
        <v>341</v>
      </c>
      <c r="C304" t="s">
        <v>348</v>
      </c>
      <c r="D304" t="s">
        <v>374</v>
      </c>
      <c r="E304" t="s">
        <v>350</v>
      </c>
      <c r="F304">
        <v>38.426000000000002</v>
      </c>
      <c r="G304">
        <v>15.535</v>
      </c>
      <c r="H304">
        <v>18.280999999999999</v>
      </c>
      <c r="I304" s="2">
        <f t="shared" si="8"/>
        <v>2.1019637875389749</v>
      </c>
      <c r="J304" s="2">
        <f t="shared" si="9"/>
        <v>0.84978939882938576</v>
      </c>
      <c r="K304" s="1" t="s">
        <v>555</v>
      </c>
    </row>
    <row r="305" spans="1:27" x14ac:dyDescent="0.4">
      <c r="A305" t="s">
        <v>460</v>
      </c>
      <c r="B305" t="s">
        <v>341</v>
      </c>
      <c r="D305" s="1" t="s">
        <v>375</v>
      </c>
      <c r="F305" s="1">
        <v>38.274999999999999</v>
      </c>
      <c r="G305" s="1">
        <v>15.602</v>
      </c>
      <c r="H305" s="1">
        <v>18.36</v>
      </c>
      <c r="I305" s="2">
        <f t="shared" si="8"/>
        <v>2.0846949891067537</v>
      </c>
      <c r="J305" s="2">
        <f t="shared" si="9"/>
        <v>0.84978213507625278</v>
      </c>
      <c r="K305" s="1" t="s">
        <v>557</v>
      </c>
    </row>
    <row r="306" spans="1:27" x14ac:dyDescent="0.4">
      <c r="A306" t="s">
        <v>460</v>
      </c>
      <c r="B306" t="s">
        <v>341</v>
      </c>
      <c r="C306" t="s">
        <v>348</v>
      </c>
      <c r="D306" t="s">
        <v>376</v>
      </c>
      <c r="E306" t="s">
        <v>352</v>
      </c>
      <c r="F306">
        <v>38.720999999999997</v>
      </c>
      <c r="G306">
        <v>15.63</v>
      </c>
      <c r="H306">
        <v>18.393000000000001</v>
      </c>
      <c r="I306" s="2">
        <f t="shared" si="8"/>
        <v>2.1052030663839503</v>
      </c>
      <c r="J306" s="2">
        <f t="shared" si="9"/>
        <v>0.84977980753547544</v>
      </c>
      <c r="K306" s="1" t="s">
        <v>558</v>
      </c>
    </row>
    <row r="307" spans="1:27" x14ac:dyDescent="0.4">
      <c r="A307" t="s">
        <v>460</v>
      </c>
      <c r="B307" t="s">
        <v>341</v>
      </c>
      <c r="C307" t="s">
        <v>348</v>
      </c>
      <c r="D307" t="s">
        <v>377</v>
      </c>
      <c r="E307" t="s">
        <v>367</v>
      </c>
      <c r="F307">
        <v>38.802999999999997</v>
      </c>
      <c r="G307">
        <v>15.686999999999999</v>
      </c>
      <c r="H307">
        <v>18.462</v>
      </c>
      <c r="I307" s="2">
        <f t="shared" si="8"/>
        <v>2.1017766222511103</v>
      </c>
      <c r="J307" s="2">
        <f t="shared" si="9"/>
        <v>0.84969125771855702</v>
      </c>
      <c r="K307" s="1" t="s">
        <v>559</v>
      </c>
    </row>
    <row r="308" spans="1:27" x14ac:dyDescent="0.4">
      <c r="A308" t="s">
        <v>460</v>
      </c>
      <c r="B308" t="s">
        <v>341</v>
      </c>
      <c r="D308" s="1" t="s">
        <v>378</v>
      </c>
      <c r="F308" s="1">
        <v>38.273000000000003</v>
      </c>
      <c r="G308" s="1">
        <v>15.601000000000001</v>
      </c>
      <c r="H308" s="1">
        <v>18.361000000000001</v>
      </c>
      <c r="I308" s="2">
        <f t="shared" si="8"/>
        <v>2.0844725232830457</v>
      </c>
      <c r="J308" s="2">
        <f t="shared" si="9"/>
        <v>0.84968138990251074</v>
      </c>
      <c r="K308" s="1" t="s">
        <v>561</v>
      </c>
    </row>
    <row r="309" spans="1:27" x14ac:dyDescent="0.4">
      <c r="A309" t="s">
        <v>460</v>
      </c>
      <c r="B309" t="s">
        <v>341</v>
      </c>
      <c r="D309" s="1" t="s">
        <v>379</v>
      </c>
      <c r="F309" s="1">
        <v>38.273000000000003</v>
      </c>
      <c r="G309" s="1">
        <v>15.601000000000001</v>
      </c>
      <c r="H309" s="1">
        <v>18.364000000000001</v>
      </c>
      <c r="I309" s="2">
        <f t="shared" si="8"/>
        <v>2.0841319973861903</v>
      </c>
      <c r="J309" s="2">
        <f t="shared" si="9"/>
        <v>0.84954258331518184</v>
      </c>
      <c r="K309" s="1" t="s">
        <v>556</v>
      </c>
    </row>
    <row r="310" spans="1:27" x14ac:dyDescent="0.4">
      <c r="A310" t="s">
        <v>460</v>
      </c>
      <c r="B310" t="s">
        <v>341</v>
      </c>
      <c r="C310" t="s">
        <v>348</v>
      </c>
      <c r="D310" t="s">
        <v>380</v>
      </c>
      <c r="E310" t="s">
        <v>367</v>
      </c>
      <c r="F310">
        <v>38.917000000000002</v>
      </c>
      <c r="G310">
        <v>15.683999999999999</v>
      </c>
      <c r="H310">
        <v>18.474</v>
      </c>
      <c r="I310" s="2">
        <f t="shared" si="8"/>
        <v>2.1065822236656926</v>
      </c>
      <c r="J310" s="2">
        <f t="shared" si="9"/>
        <v>0.84897694056511852</v>
      </c>
      <c r="K310" s="1" t="s">
        <v>562</v>
      </c>
      <c r="L310" s="4"/>
      <c r="M310" s="4"/>
      <c r="N310" s="4"/>
      <c r="O310" s="4"/>
      <c r="P310" s="4"/>
      <c r="Q310" s="4"/>
      <c r="R310" s="4"/>
      <c r="S310" s="4"/>
      <c r="T310" s="4"/>
      <c r="U310" s="4"/>
      <c r="V310" s="4"/>
      <c r="W310" s="4"/>
      <c r="X310" s="4"/>
      <c r="Y310" s="4"/>
      <c r="Z310" s="4"/>
      <c r="AA310" s="4"/>
    </row>
    <row r="311" spans="1:27" x14ac:dyDescent="0.4">
      <c r="A311" t="s">
        <v>460</v>
      </c>
      <c r="B311" t="s">
        <v>341</v>
      </c>
      <c r="D311" s="1" t="s">
        <v>381</v>
      </c>
      <c r="F311" s="1">
        <v>38.283000000000001</v>
      </c>
      <c r="G311" s="1">
        <v>15.606</v>
      </c>
      <c r="H311" s="1">
        <v>18.382999999999999</v>
      </c>
      <c r="I311" s="2">
        <f t="shared" si="8"/>
        <v>2.0825218952292879</v>
      </c>
      <c r="J311" s="2">
        <f t="shared" si="9"/>
        <v>0.84893651743458631</v>
      </c>
      <c r="K311" s="1" t="s">
        <v>564</v>
      </c>
    </row>
    <row r="312" spans="1:27" x14ac:dyDescent="0.4">
      <c r="A312" t="s">
        <v>460</v>
      </c>
      <c r="B312" t="s">
        <v>341</v>
      </c>
      <c r="C312" t="s">
        <v>348</v>
      </c>
      <c r="D312" t="s">
        <v>382</v>
      </c>
      <c r="E312" t="s">
        <v>352</v>
      </c>
      <c r="F312">
        <v>38.956000000000003</v>
      </c>
      <c r="G312">
        <v>15.683999999999999</v>
      </c>
      <c r="H312">
        <v>18.483000000000001</v>
      </c>
      <c r="I312" s="2">
        <f t="shared" si="8"/>
        <v>2.1076665043553535</v>
      </c>
      <c r="J312" s="2">
        <f t="shared" si="9"/>
        <v>0.84856354487907804</v>
      </c>
      <c r="K312" s="1" t="s">
        <v>565</v>
      </c>
    </row>
    <row r="313" spans="1:27" x14ac:dyDescent="0.4">
      <c r="A313" t="s">
        <v>460</v>
      </c>
      <c r="B313" t="s">
        <v>341</v>
      </c>
      <c r="D313" s="1" t="s">
        <v>383</v>
      </c>
      <c r="F313" s="1">
        <v>38.5</v>
      </c>
      <c r="G313" s="1">
        <v>15.59</v>
      </c>
      <c r="H313" s="1">
        <v>18.41</v>
      </c>
      <c r="I313" s="2">
        <f t="shared" si="8"/>
        <v>2.0912547528517109</v>
      </c>
      <c r="J313" s="2">
        <f t="shared" si="9"/>
        <v>0.84682237914177072</v>
      </c>
      <c r="K313" s="1" t="s">
        <v>566</v>
      </c>
    </row>
    <row r="314" spans="1:27" x14ac:dyDescent="0.4">
      <c r="A314" t="s">
        <v>460</v>
      </c>
      <c r="B314" t="s">
        <v>341</v>
      </c>
      <c r="D314" s="1" t="s">
        <v>384</v>
      </c>
      <c r="F314" s="1">
        <v>38.595999999999997</v>
      </c>
      <c r="G314" s="1">
        <v>15.654</v>
      </c>
      <c r="H314" s="1">
        <v>18.488</v>
      </c>
      <c r="I314" s="2">
        <f t="shared" si="8"/>
        <v>2.0876244050194721</v>
      </c>
      <c r="J314" s="2">
        <f t="shared" si="9"/>
        <v>0.84671138035482474</v>
      </c>
      <c r="K314" s="1" t="s">
        <v>567</v>
      </c>
    </row>
    <row r="315" spans="1:27" x14ac:dyDescent="0.4">
      <c r="A315" t="s">
        <v>460</v>
      </c>
      <c r="B315" t="s">
        <v>341</v>
      </c>
      <c r="D315" s="1" t="s">
        <v>385</v>
      </c>
      <c r="F315" s="1">
        <v>38.521999999999998</v>
      </c>
      <c r="G315" s="1">
        <v>15.667999999999999</v>
      </c>
      <c r="H315" s="1">
        <v>18.507000000000001</v>
      </c>
      <c r="I315" s="2">
        <f t="shared" si="8"/>
        <v>2.0814826822283456</v>
      </c>
      <c r="J315" s="2">
        <f t="shared" si="9"/>
        <v>0.84659858431944657</v>
      </c>
      <c r="K315" s="1" t="s">
        <v>569</v>
      </c>
    </row>
    <row r="316" spans="1:27" s="7" customFormat="1" x14ac:dyDescent="0.4">
      <c r="A316" t="s">
        <v>460</v>
      </c>
      <c r="B316" t="s">
        <v>341</v>
      </c>
      <c r="C316" s="1"/>
      <c r="D316" s="1" t="s">
        <v>386</v>
      </c>
      <c r="E316" s="1"/>
      <c r="F316" s="1">
        <v>38.552</v>
      </c>
      <c r="G316" s="1">
        <v>15.667999999999999</v>
      </c>
      <c r="H316" s="1">
        <v>18.507000000000001</v>
      </c>
      <c r="I316" s="2">
        <f t="shared" si="8"/>
        <v>2.0831036904954878</v>
      </c>
      <c r="J316" s="2">
        <f t="shared" si="9"/>
        <v>0.84659858431944657</v>
      </c>
      <c r="K316" s="1" t="s">
        <v>570</v>
      </c>
      <c r="L316" s="1"/>
      <c r="M316" s="1"/>
      <c r="N316" s="1"/>
      <c r="O316" s="1"/>
      <c r="P316" s="1"/>
      <c r="Q316" s="1"/>
      <c r="R316" s="1"/>
      <c r="S316" s="1"/>
      <c r="T316" s="1"/>
      <c r="U316" s="1"/>
      <c r="V316" s="1"/>
      <c r="W316" s="1"/>
      <c r="X316" s="1"/>
      <c r="Y316" s="1"/>
      <c r="Z316" s="1"/>
      <c r="AA316" s="1"/>
    </row>
    <row r="317" spans="1:27" s="7" customFormat="1" x14ac:dyDescent="0.4">
      <c r="A317" t="s">
        <v>460</v>
      </c>
      <c r="B317" t="s">
        <v>341</v>
      </c>
      <c r="C317" s="1"/>
      <c r="D317" s="1" t="s">
        <v>387</v>
      </c>
      <c r="E317" s="1"/>
      <c r="F317" s="1">
        <v>38.319000000000003</v>
      </c>
      <c r="G317" s="1">
        <v>15.605</v>
      </c>
      <c r="H317" s="1">
        <v>18.433</v>
      </c>
      <c r="I317" s="2">
        <f t="shared" si="8"/>
        <v>2.0788260185536811</v>
      </c>
      <c r="J317" s="2">
        <f t="shared" si="9"/>
        <v>0.84657950415016547</v>
      </c>
      <c r="K317" s="1" t="s">
        <v>571</v>
      </c>
      <c r="L317" s="1"/>
      <c r="M317" s="1"/>
      <c r="N317" s="1"/>
      <c r="O317" s="1"/>
      <c r="P317" s="1"/>
      <c r="Q317" s="1"/>
      <c r="R317" s="1"/>
      <c r="S317" s="1"/>
      <c r="T317" s="1"/>
      <c r="U317" s="1"/>
      <c r="V317" s="1"/>
      <c r="W317" s="1"/>
      <c r="X317" s="1"/>
      <c r="Y317" s="1"/>
      <c r="Z317" s="1"/>
      <c r="AA317" s="1"/>
    </row>
    <row r="318" spans="1:27" s="7" customFormat="1" x14ac:dyDescent="0.4">
      <c r="A318" t="s">
        <v>460</v>
      </c>
      <c r="B318" t="s">
        <v>341</v>
      </c>
      <c r="C318" s="1"/>
      <c r="D318" s="1" t="s">
        <v>388</v>
      </c>
      <c r="E318" s="1"/>
      <c r="F318" s="1">
        <v>38.273000000000003</v>
      </c>
      <c r="G318" s="1">
        <v>15.606999999999999</v>
      </c>
      <c r="H318" s="1">
        <v>18.437000000000001</v>
      </c>
      <c r="I318" s="2">
        <f t="shared" si="8"/>
        <v>2.0758800238650541</v>
      </c>
      <c r="J318" s="2">
        <f t="shared" si="9"/>
        <v>0.84650431198134179</v>
      </c>
      <c r="K318" s="1" t="s">
        <v>572</v>
      </c>
      <c r="L318" s="1"/>
      <c r="M318" s="1"/>
      <c r="N318" s="1"/>
      <c r="O318" s="1"/>
      <c r="P318" s="1"/>
      <c r="Q318" s="1"/>
      <c r="R318" s="1"/>
      <c r="S318" s="1"/>
      <c r="T318" s="1"/>
      <c r="U318" s="1"/>
      <c r="V318" s="1"/>
      <c r="W318" s="1"/>
      <c r="X318" s="1"/>
      <c r="Y318" s="1"/>
      <c r="Z318" s="1"/>
      <c r="AA318" s="1"/>
    </row>
    <row r="319" spans="1:27" x14ac:dyDescent="0.4">
      <c r="A319" t="s">
        <v>460</v>
      </c>
      <c r="B319" t="s">
        <v>341</v>
      </c>
      <c r="D319" s="1" t="s">
        <v>389</v>
      </c>
      <c r="F319" s="1">
        <v>38.256999999999998</v>
      </c>
      <c r="G319" s="1">
        <v>15.606999999999999</v>
      </c>
      <c r="H319" s="1">
        <v>18.442</v>
      </c>
      <c r="I319" s="2">
        <f t="shared" si="8"/>
        <v>2.0744496258540286</v>
      </c>
      <c r="J319" s="2">
        <f t="shared" si="9"/>
        <v>0.84627480750460904</v>
      </c>
      <c r="K319" s="1" t="s">
        <v>573</v>
      </c>
    </row>
    <row r="320" spans="1:27" x14ac:dyDescent="0.4">
      <c r="A320" t="s">
        <v>460</v>
      </c>
      <c r="B320" t="s">
        <v>341</v>
      </c>
      <c r="D320" s="1" t="s">
        <v>390</v>
      </c>
      <c r="F320" s="1">
        <v>38.308</v>
      </c>
      <c r="G320" s="1">
        <v>15.609</v>
      </c>
      <c r="H320" s="1">
        <v>18.454000000000001</v>
      </c>
      <c r="I320" s="2">
        <f t="shared" si="8"/>
        <v>2.0758643112604314</v>
      </c>
      <c r="J320" s="2">
        <f t="shared" si="9"/>
        <v>0.845832881760052</v>
      </c>
      <c r="K320" s="1" t="s">
        <v>560</v>
      </c>
    </row>
    <row r="321" spans="1:11" x14ac:dyDescent="0.4">
      <c r="A321" t="s">
        <v>460</v>
      </c>
      <c r="B321" t="s">
        <v>341</v>
      </c>
      <c r="D321" s="1" t="s">
        <v>391</v>
      </c>
      <c r="F321" s="1">
        <v>38.311</v>
      </c>
      <c r="G321" s="1">
        <v>15.606</v>
      </c>
      <c r="H321" s="1">
        <v>18.459</v>
      </c>
      <c r="I321" s="2">
        <f t="shared" si="8"/>
        <v>2.0754645430413348</v>
      </c>
      <c r="J321" s="2">
        <f t="shared" si="9"/>
        <v>0.84544124817162358</v>
      </c>
      <c r="K321" s="1" t="s">
        <v>556</v>
      </c>
    </row>
    <row r="322" spans="1:11" x14ac:dyDescent="0.4">
      <c r="A322" t="s">
        <v>460</v>
      </c>
      <c r="B322" t="s">
        <v>341</v>
      </c>
      <c r="D322" s="1" t="s">
        <v>392</v>
      </c>
      <c r="F322" s="1">
        <v>38.273000000000003</v>
      </c>
      <c r="G322" s="1">
        <v>15.608000000000001</v>
      </c>
      <c r="H322" s="1">
        <v>18.463000000000001</v>
      </c>
      <c r="I322" s="2">
        <f t="shared" ref="I322:I385" si="10">F322/H322</f>
        <v>2.0729567242593294</v>
      </c>
      <c r="J322" s="2">
        <f t="shared" ref="J322:J385" si="11">G322/H322</f>
        <v>0.84536640849266098</v>
      </c>
      <c r="K322" s="1" t="s">
        <v>574</v>
      </c>
    </row>
    <row r="323" spans="1:11" x14ac:dyDescent="0.4">
      <c r="A323" t="s">
        <v>460</v>
      </c>
      <c r="B323" t="s">
        <v>341</v>
      </c>
      <c r="D323" s="1" t="s">
        <v>393</v>
      </c>
      <c r="F323" s="1">
        <v>38.65</v>
      </c>
      <c r="G323" s="1">
        <v>15.68</v>
      </c>
      <c r="H323" s="1">
        <v>18.55</v>
      </c>
      <c r="I323" s="2">
        <f t="shared" si="10"/>
        <v>2.0835579514824798</v>
      </c>
      <c r="J323" s="2">
        <f t="shared" si="11"/>
        <v>0.84528301886792445</v>
      </c>
      <c r="K323" s="1" t="s">
        <v>575</v>
      </c>
    </row>
    <row r="324" spans="1:11" x14ac:dyDescent="0.4">
      <c r="A324" t="s">
        <v>460</v>
      </c>
      <c r="B324" t="s">
        <v>341</v>
      </c>
      <c r="D324" s="1" t="s">
        <v>394</v>
      </c>
      <c r="F324" s="1">
        <v>38.268000000000001</v>
      </c>
      <c r="G324" s="1">
        <v>15.608000000000001</v>
      </c>
      <c r="H324" s="1">
        <v>18.466999999999999</v>
      </c>
      <c r="I324" s="2">
        <f t="shared" si="10"/>
        <v>2.0722369632317106</v>
      </c>
      <c r="J324" s="2">
        <f t="shared" si="11"/>
        <v>0.8451832999404344</v>
      </c>
      <c r="K324" s="1" t="s">
        <v>576</v>
      </c>
    </row>
    <row r="325" spans="1:11" x14ac:dyDescent="0.4">
      <c r="A325" t="s">
        <v>460</v>
      </c>
      <c r="B325" t="s">
        <v>341</v>
      </c>
      <c r="D325" s="1" t="s">
        <v>395</v>
      </c>
      <c r="F325" s="1">
        <v>38.326000000000001</v>
      </c>
      <c r="G325" s="1">
        <v>15.606999999999999</v>
      </c>
      <c r="H325" s="1">
        <v>18.466999999999999</v>
      </c>
      <c r="I325" s="2">
        <f t="shared" si="10"/>
        <v>2.0753777007635241</v>
      </c>
      <c r="J325" s="2">
        <f t="shared" si="11"/>
        <v>0.84512914929333405</v>
      </c>
      <c r="K325" s="1" t="s">
        <v>577</v>
      </c>
    </row>
    <row r="326" spans="1:11" x14ac:dyDescent="0.4">
      <c r="A326" t="s">
        <v>460</v>
      </c>
      <c r="B326" t="s">
        <v>341</v>
      </c>
      <c r="D326" s="1" t="s">
        <v>396</v>
      </c>
      <c r="F326" s="1">
        <v>39.054000000000002</v>
      </c>
      <c r="G326" s="1">
        <v>15.805</v>
      </c>
      <c r="H326" s="1">
        <v>18.734000000000002</v>
      </c>
      <c r="I326" s="2">
        <f t="shared" si="10"/>
        <v>2.0846589089356251</v>
      </c>
      <c r="J326" s="2">
        <f t="shared" si="11"/>
        <v>0.84365325077399367</v>
      </c>
      <c r="K326" s="1" t="s">
        <v>579</v>
      </c>
    </row>
    <row r="327" spans="1:11" x14ac:dyDescent="0.4">
      <c r="A327" t="s">
        <v>460</v>
      </c>
      <c r="B327" t="s">
        <v>341</v>
      </c>
      <c r="D327" s="1" t="s">
        <v>397</v>
      </c>
      <c r="F327" s="1">
        <v>38.521000000000001</v>
      </c>
      <c r="G327" s="1">
        <v>15.638999999999999</v>
      </c>
      <c r="H327" s="1">
        <v>18.553000000000001</v>
      </c>
      <c r="I327" s="2">
        <f t="shared" si="10"/>
        <v>2.0762679890044735</v>
      </c>
      <c r="J327" s="2">
        <f t="shared" si="11"/>
        <v>0.8429364523257693</v>
      </c>
      <c r="K327" s="1" t="s">
        <v>580</v>
      </c>
    </row>
    <row r="328" spans="1:11" x14ac:dyDescent="0.4">
      <c r="A328" t="s">
        <v>460</v>
      </c>
      <c r="B328" t="s">
        <v>341</v>
      </c>
      <c r="D328" s="1" t="s">
        <v>398</v>
      </c>
      <c r="F328" s="1">
        <v>38.539000000000001</v>
      </c>
      <c r="G328" s="1">
        <v>15.666</v>
      </c>
      <c r="H328" s="1">
        <v>18.614000000000001</v>
      </c>
      <c r="I328" s="2">
        <f t="shared" si="10"/>
        <v>2.0704308584936069</v>
      </c>
      <c r="J328" s="2">
        <f t="shared" si="11"/>
        <v>0.84162458364671755</v>
      </c>
      <c r="K328" s="1" t="s">
        <v>581</v>
      </c>
    </row>
    <row r="329" spans="1:11" x14ac:dyDescent="0.4">
      <c r="A329" t="s">
        <v>460</v>
      </c>
      <c r="B329" t="s">
        <v>341</v>
      </c>
      <c r="D329" s="1" t="s">
        <v>399</v>
      </c>
      <c r="F329" s="1">
        <v>38.216999999999999</v>
      </c>
      <c r="G329" s="1">
        <v>15.576000000000001</v>
      </c>
      <c r="H329" s="1">
        <v>18.539000000000001</v>
      </c>
      <c r="I329" s="2">
        <f t="shared" si="10"/>
        <v>2.0614380495172338</v>
      </c>
      <c r="J329" s="2">
        <f t="shared" si="11"/>
        <v>0.84017476670802094</v>
      </c>
      <c r="K329" s="1" t="s">
        <v>582</v>
      </c>
    </row>
    <row r="330" spans="1:11" x14ac:dyDescent="0.4">
      <c r="A330" t="s">
        <v>460</v>
      </c>
      <c r="B330" t="s">
        <v>341</v>
      </c>
      <c r="D330" s="1" t="s">
        <v>400</v>
      </c>
      <c r="F330" s="1">
        <v>38.481999999999999</v>
      </c>
      <c r="G330" s="1">
        <v>15.680999999999999</v>
      </c>
      <c r="H330" s="1">
        <v>18.68</v>
      </c>
      <c r="I330" s="2">
        <f t="shared" si="10"/>
        <v>2.0600642398286939</v>
      </c>
      <c r="J330" s="2">
        <f t="shared" si="11"/>
        <v>0.83945396145610274</v>
      </c>
      <c r="K330" s="1" t="s">
        <v>583</v>
      </c>
    </row>
    <row r="331" spans="1:11" x14ac:dyDescent="0.4">
      <c r="A331" t="s">
        <v>460</v>
      </c>
      <c r="B331" t="s">
        <v>341</v>
      </c>
      <c r="D331" s="1" t="s">
        <v>401</v>
      </c>
      <c r="F331" s="1">
        <v>38.67</v>
      </c>
      <c r="G331" s="1">
        <v>15.647</v>
      </c>
      <c r="H331" s="1">
        <v>18.640999999999998</v>
      </c>
      <c r="I331" s="2">
        <f t="shared" si="10"/>
        <v>2.0744595247036104</v>
      </c>
      <c r="J331" s="2">
        <f t="shared" si="11"/>
        <v>0.83938629901829309</v>
      </c>
      <c r="K331" s="1" t="s">
        <v>584</v>
      </c>
    </row>
    <row r="332" spans="1:11" x14ac:dyDescent="0.4">
      <c r="A332" t="s">
        <v>460</v>
      </c>
      <c r="B332" t="s">
        <v>341</v>
      </c>
      <c r="D332" s="1" t="s">
        <v>402</v>
      </c>
      <c r="F332" s="1">
        <v>38.747999999999998</v>
      </c>
      <c r="G332" s="1">
        <v>15.673</v>
      </c>
      <c r="H332" s="1">
        <v>18.677</v>
      </c>
      <c r="I332" s="2">
        <f t="shared" si="10"/>
        <v>2.0746372543770413</v>
      </c>
      <c r="J332" s="2">
        <f t="shared" si="11"/>
        <v>0.83916046474273176</v>
      </c>
      <c r="K332" s="1" t="s">
        <v>585</v>
      </c>
    </row>
    <row r="333" spans="1:11" x14ac:dyDescent="0.4">
      <c r="A333" t="s">
        <v>460</v>
      </c>
      <c r="B333" t="s">
        <v>341</v>
      </c>
      <c r="D333" s="1" t="s">
        <v>403</v>
      </c>
      <c r="F333" s="1">
        <v>38.286999999999999</v>
      </c>
      <c r="G333" s="1">
        <v>15.654999999999999</v>
      </c>
      <c r="H333" s="1">
        <v>18.658999999999999</v>
      </c>
      <c r="I333" s="2">
        <f t="shared" si="10"/>
        <v>2.0519320435178736</v>
      </c>
      <c r="J333" s="2">
        <f t="shared" si="11"/>
        <v>0.83900530575057619</v>
      </c>
      <c r="K333" s="1" t="s">
        <v>586</v>
      </c>
    </row>
    <row r="334" spans="1:11" x14ac:dyDescent="0.4">
      <c r="A334" t="s">
        <v>460</v>
      </c>
      <c r="B334" t="s">
        <v>341</v>
      </c>
      <c r="D334" s="1" t="s">
        <v>404</v>
      </c>
      <c r="F334" s="1">
        <v>38.448</v>
      </c>
      <c r="G334" s="1">
        <v>15.651</v>
      </c>
      <c r="H334" s="1">
        <v>18.678000000000001</v>
      </c>
      <c r="I334" s="2">
        <f t="shared" si="10"/>
        <v>2.0584645036941858</v>
      </c>
      <c r="J334" s="2">
        <f t="shared" si="11"/>
        <v>0.83793768069386443</v>
      </c>
      <c r="K334" s="1" t="s">
        <v>587</v>
      </c>
    </row>
    <row r="335" spans="1:11" x14ac:dyDescent="0.4">
      <c r="A335" t="s">
        <v>460</v>
      </c>
      <c r="B335" t="s">
        <v>341</v>
      </c>
      <c r="D335" s="1" t="s">
        <v>405</v>
      </c>
      <c r="F335" s="1">
        <v>38.231000000000002</v>
      </c>
      <c r="G335" s="1">
        <v>15.619</v>
      </c>
      <c r="H335" s="1">
        <v>18.667000000000002</v>
      </c>
      <c r="I335" s="2">
        <f t="shared" si="10"/>
        <v>2.0480527133444046</v>
      </c>
      <c r="J335" s="2">
        <f t="shared" si="11"/>
        <v>0.83671720147854489</v>
      </c>
      <c r="K335" s="1" t="s">
        <v>588</v>
      </c>
    </row>
    <row r="336" spans="1:11" x14ac:dyDescent="0.4">
      <c r="A336" t="s">
        <v>460</v>
      </c>
      <c r="B336" t="s">
        <v>341</v>
      </c>
      <c r="D336" s="1" t="s">
        <v>406</v>
      </c>
      <c r="F336" s="1">
        <v>38.286000000000001</v>
      </c>
      <c r="G336" s="1">
        <v>15.62</v>
      </c>
      <c r="H336" s="1">
        <v>18.678999999999998</v>
      </c>
      <c r="I336" s="2">
        <f t="shared" si="10"/>
        <v>2.0496814604636224</v>
      </c>
      <c r="J336" s="2">
        <f t="shared" si="11"/>
        <v>0.83623320306226245</v>
      </c>
      <c r="K336" s="1" t="s">
        <v>589</v>
      </c>
    </row>
    <row r="337" spans="1:27" x14ac:dyDescent="0.4">
      <c r="A337" t="s">
        <v>460</v>
      </c>
      <c r="B337" t="s">
        <v>341</v>
      </c>
      <c r="D337" s="1" t="s">
        <v>407</v>
      </c>
      <c r="F337" s="1">
        <v>38.491</v>
      </c>
      <c r="G337" s="1">
        <v>15.66</v>
      </c>
      <c r="H337" s="1">
        <v>18.731999999999999</v>
      </c>
      <c r="I337" s="2">
        <f t="shared" si="10"/>
        <v>2.0548259662609438</v>
      </c>
      <c r="J337" s="2">
        <f t="shared" si="11"/>
        <v>0.83600256245996163</v>
      </c>
      <c r="K337" s="1" t="s">
        <v>590</v>
      </c>
    </row>
    <row r="338" spans="1:27" x14ac:dyDescent="0.4">
      <c r="A338" t="s">
        <v>460</v>
      </c>
      <c r="B338" t="s">
        <v>341</v>
      </c>
      <c r="D338" s="1" t="s">
        <v>408</v>
      </c>
      <c r="F338" s="1">
        <v>38.457999999999998</v>
      </c>
      <c r="G338" s="1">
        <v>15.659000000000001</v>
      </c>
      <c r="H338" s="1">
        <v>18.745000000000001</v>
      </c>
      <c r="I338" s="2">
        <f t="shared" si="10"/>
        <v>2.0516404374499864</v>
      </c>
      <c r="J338" s="2">
        <f t="shared" si="11"/>
        <v>0.83536943184849288</v>
      </c>
      <c r="K338" s="1" t="s">
        <v>542</v>
      </c>
    </row>
    <row r="339" spans="1:27" x14ac:dyDescent="0.4">
      <c r="A339" t="s">
        <v>460</v>
      </c>
      <c r="B339" t="s">
        <v>341</v>
      </c>
      <c r="D339" s="1" t="s">
        <v>409</v>
      </c>
      <c r="F339" s="1">
        <v>38.462000000000003</v>
      </c>
      <c r="G339" s="1">
        <v>15.66</v>
      </c>
      <c r="H339" s="1">
        <v>18.747</v>
      </c>
      <c r="I339" s="2">
        <f t="shared" si="10"/>
        <v>2.0516349282551878</v>
      </c>
      <c r="J339" s="2">
        <f t="shared" si="11"/>
        <v>0.83533365338454157</v>
      </c>
      <c r="K339" s="1" t="s">
        <v>591</v>
      </c>
    </row>
    <row r="340" spans="1:27" x14ac:dyDescent="0.4">
      <c r="A340" t="s">
        <v>460</v>
      </c>
      <c r="B340" t="s">
        <v>341</v>
      </c>
      <c r="D340" s="1" t="s">
        <v>410</v>
      </c>
      <c r="F340" s="1">
        <v>38.631999999999998</v>
      </c>
      <c r="G340" s="1">
        <v>15.698</v>
      </c>
      <c r="H340" s="1">
        <v>18.798999999999999</v>
      </c>
      <c r="I340" s="2">
        <f t="shared" si="10"/>
        <v>2.0550029256875364</v>
      </c>
      <c r="J340" s="2">
        <f t="shared" si="11"/>
        <v>0.83504441725623713</v>
      </c>
      <c r="K340" s="1" t="s">
        <v>592</v>
      </c>
    </row>
    <row r="341" spans="1:27" x14ac:dyDescent="0.4">
      <c r="A341" t="s">
        <v>460</v>
      </c>
      <c r="B341" t="s">
        <v>341</v>
      </c>
      <c r="D341" s="1" t="s">
        <v>411</v>
      </c>
      <c r="F341" s="1">
        <v>38.451999999999998</v>
      </c>
      <c r="G341" s="1">
        <v>15.657999999999999</v>
      </c>
      <c r="H341" s="1">
        <v>18.754999999999999</v>
      </c>
      <c r="I341" s="2">
        <f t="shared" si="10"/>
        <v>2.0502266062383363</v>
      </c>
      <c r="J341" s="2">
        <f t="shared" si="11"/>
        <v>0.83487070114636097</v>
      </c>
      <c r="K341" s="1" t="s">
        <v>593</v>
      </c>
      <c r="L341" s="4"/>
      <c r="M341" s="4"/>
      <c r="N341" s="4"/>
      <c r="O341" s="4"/>
      <c r="P341" s="4"/>
      <c r="Q341" s="4"/>
      <c r="R341" s="4"/>
      <c r="S341" s="4"/>
      <c r="T341" s="4"/>
      <c r="U341" s="4"/>
      <c r="V341" s="4"/>
      <c r="W341" s="4"/>
      <c r="X341" s="4"/>
      <c r="Y341" s="4"/>
      <c r="Z341" s="4"/>
      <c r="AA341" s="4"/>
    </row>
    <row r="342" spans="1:27" x14ac:dyDescent="0.4">
      <c r="A342" t="s">
        <v>460</v>
      </c>
      <c r="B342" t="s">
        <v>341</v>
      </c>
      <c r="D342" s="1" t="s">
        <v>412</v>
      </c>
      <c r="F342" s="1">
        <v>38.249000000000002</v>
      </c>
      <c r="G342" s="1">
        <v>15.622</v>
      </c>
      <c r="H342" s="1">
        <v>18.712</v>
      </c>
      <c r="I342" s="2">
        <f t="shared" si="10"/>
        <v>2.0440893544249681</v>
      </c>
      <c r="J342" s="2">
        <f t="shared" si="11"/>
        <v>0.83486532706284733</v>
      </c>
      <c r="K342" s="1" t="s">
        <v>594</v>
      </c>
    </row>
    <row r="343" spans="1:27" x14ac:dyDescent="0.4">
      <c r="A343" t="s">
        <v>460</v>
      </c>
      <c r="B343" t="s">
        <v>341</v>
      </c>
      <c r="D343" s="1" t="s">
        <v>413</v>
      </c>
      <c r="F343" s="1">
        <v>38.243000000000002</v>
      </c>
      <c r="G343" s="1">
        <v>15.624000000000001</v>
      </c>
      <c r="H343" s="1">
        <v>18.72</v>
      </c>
      <c r="I343" s="2">
        <f t="shared" si="10"/>
        <v>2.0428952991452993</v>
      </c>
      <c r="J343" s="2">
        <f t="shared" si="11"/>
        <v>0.83461538461538465</v>
      </c>
      <c r="K343" s="1" t="s">
        <v>595</v>
      </c>
    </row>
    <row r="344" spans="1:27" x14ac:dyDescent="0.4">
      <c r="A344" t="s">
        <v>460</v>
      </c>
      <c r="B344" t="s">
        <v>341</v>
      </c>
      <c r="D344" s="1" t="s">
        <v>414</v>
      </c>
      <c r="F344" s="1">
        <v>38.392000000000003</v>
      </c>
      <c r="G344" s="1">
        <v>15.648</v>
      </c>
      <c r="H344" s="1">
        <v>18.748999999999999</v>
      </c>
      <c r="I344" s="2">
        <f t="shared" si="10"/>
        <v>2.047682543068964</v>
      </c>
      <c r="J344" s="2">
        <f t="shared" si="11"/>
        <v>0.83460451224065291</v>
      </c>
      <c r="K344" s="1" t="s">
        <v>596</v>
      </c>
    </row>
    <row r="345" spans="1:27" x14ac:dyDescent="0.4">
      <c r="A345" t="s">
        <v>460</v>
      </c>
      <c r="B345" t="s">
        <v>341</v>
      </c>
      <c r="D345" s="1" t="s">
        <v>415</v>
      </c>
      <c r="F345" s="1">
        <v>38.283000000000001</v>
      </c>
      <c r="G345" s="1">
        <v>15.622</v>
      </c>
      <c r="H345" s="1">
        <v>18.722000000000001</v>
      </c>
      <c r="I345" s="2">
        <f t="shared" si="10"/>
        <v>2.044813588291849</v>
      </c>
      <c r="J345" s="2">
        <f t="shared" si="11"/>
        <v>0.8344193996367909</v>
      </c>
      <c r="K345" s="1" t="s">
        <v>598</v>
      </c>
    </row>
    <row r="346" spans="1:27" x14ac:dyDescent="0.4">
      <c r="A346" t="s">
        <v>460</v>
      </c>
      <c r="B346" t="s">
        <v>341</v>
      </c>
      <c r="D346" s="1" t="s">
        <v>413</v>
      </c>
      <c r="F346" s="1">
        <v>38.237000000000002</v>
      </c>
      <c r="G346" s="1">
        <v>15.625999999999999</v>
      </c>
      <c r="H346" s="1">
        <v>18.739000000000001</v>
      </c>
      <c r="I346" s="2">
        <f t="shared" si="10"/>
        <v>2.0405037622071616</v>
      </c>
      <c r="J346" s="2">
        <f t="shared" si="11"/>
        <v>0.8338758738459896</v>
      </c>
      <c r="K346" s="1" t="s">
        <v>599</v>
      </c>
    </row>
    <row r="347" spans="1:27" x14ac:dyDescent="0.4">
      <c r="A347" t="s">
        <v>460</v>
      </c>
      <c r="B347" t="s">
        <v>341</v>
      </c>
      <c r="D347" s="1" t="s">
        <v>416</v>
      </c>
      <c r="F347" s="1">
        <v>38.448999999999998</v>
      </c>
      <c r="G347" s="1">
        <v>15.666</v>
      </c>
      <c r="H347" s="1">
        <v>18.791</v>
      </c>
      <c r="I347" s="2">
        <f t="shared" si="10"/>
        <v>2.0461391091479961</v>
      </c>
      <c r="J347" s="2">
        <f t="shared" si="11"/>
        <v>0.83369698259805225</v>
      </c>
      <c r="K347" s="1" t="s">
        <v>600</v>
      </c>
      <c r="L347" s="4"/>
      <c r="M347" s="4"/>
      <c r="N347" s="4"/>
      <c r="O347" s="4"/>
      <c r="P347" s="4"/>
      <c r="Q347" s="4"/>
      <c r="R347" s="4"/>
      <c r="S347" s="4"/>
      <c r="T347" s="4"/>
      <c r="U347" s="4"/>
      <c r="V347" s="4"/>
      <c r="W347" s="4"/>
      <c r="X347" s="4"/>
      <c r="Y347" s="4"/>
      <c r="Z347" s="4"/>
      <c r="AA347" s="4"/>
    </row>
    <row r="348" spans="1:27" x14ac:dyDescent="0.4">
      <c r="A348" t="s">
        <v>460</v>
      </c>
      <c r="B348" t="s">
        <v>341</v>
      </c>
      <c r="D348" s="1" t="s">
        <v>398</v>
      </c>
      <c r="F348" s="1">
        <v>38.463000000000001</v>
      </c>
      <c r="G348" s="1">
        <v>15.659000000000001</v>
      </c>
      <c r="H348" s="1">
        <v>18.788</v>
      </c>
      <c r="I348" s="2">
        <f t="shared" si="10"/>
        <v>2.047210985735576</v>
      </c>
      <c r="J348" s="2">
        <f t="shared" si="11"/>
        <v>0.83345752608047696</v>
      </c>
      <c r="K348" s="1" t="s">
        <v>601</v>
      </c>
    </row>
    <row r="349" spans="1:27" x14ac:dyDescent="0.4">
      <c r="A349" t="s">
        <v>460</v>
      </c>
      <c r="B349" t="s">
        <v>341</v>
      </c>
      <c r="D349" s="1" t="s">
        <v>403</v>
      </c>
      <c r="F349" s="1">
        <v>38.194000000000003</v>
      </c>
      <c r="G349" s="1">
        <v>15.657</v>
      </c>
      <c r="H349" s="1">
        <v>18.792999999999999</v>
      </c>
      <c r="I349" s="2">
        <f t="shared" si="10"/>
        <v>2.0323524716649817</v>
      </c>
      <c r="J349" s="2">
        <f t="shared" si="11"/>
        <v>0.83312935667535792</v>
      </c>
      <c r="K349" s="1" t="s">
        <v>563</v>
      </c>
      <c r="L349"/>
      <c r="M349"/>
      <c r="N349"/>
      <c r="O349"/>
      <c r="P349"/>
      <c r="Q349"/>
      <c r="R349"/>
      <c r="S349"/>
      <c r="T349"/>
      <c r="U349"/>
      <c r="V349"/>
      <c r="W349"/>
      <c r="X349"/>
      <c r="Y349"/>
      <c r="Z349"/>
      <c r="AA349"/>
    </row>
    <row r="350" spans="1:27" x14ac:dyDescent="0.4">
      <c r="A350" t="s">
        <v>460</v>
      </c>
      <c r="B350" t="s">
        <v>341</v>
      </c>
      <c r="D350" s="1" t="s">
        <v>417</v>
      </c>
      <c r="F350" s="1">
        <v>38.481999999999999</v>
      </c>
      <c r="G350" s="1">
        <v>15.656000000000001</v>
      </c>
      <c r="H350" s="1">
        <v>18.802</v>
      </c>
      <c r="I350" s="2">
        <f t="shared" si="10"/>
        <v>2.0466971598766088</v>
      </c>
      <c r="J350" s="2">
        <f t="shared" si="11"/>
        <v>0.83267737474736736</v>
      </c>
      <c r="K350" s="1" t="s">
        <v>602</v>
      </c>
    </row>
    <row r="351" spans="1:27" x14ac:dyDescent="0.4">
      <c r="A351" t="s">
        <v>460</v>
      </c>
      <c r="B351" t="s">
        <v>341</v>
      </c>
      <c r="D351" s="1" t="s">
        <v>418</v>
      </c>
      <c r="F351" s="1">
        <v>38.600999999999999</v>
      </c>
      <c r="G351" s="1">
        <v>15.725</v>
      </c>
      <c r="H351" s="1">
        <v>18.91</v>
      </c>
      <c r="I351" s="2">
        <f t="shared" si="10"/>
        <v>2.0413008989952406</v>
      </c>
      <c r="J351" s="2">
        <f t="shared" si="11"/>
        <v>0.83157059756742457</v>
      </c>
      <c r="K351" s="1" t="s">
        <v>603</v>
      </c>
    </row>
    <row r="352" spans="1:27" x14ac:dyDescent="0.4">
      <c r="A352" t="s">
        <v>460</v>
      </c>
      <c r="B352" t="s">
        <v>341</v>
      </c>
      <c r="D352" s="1" t="s">
        <v>419</v>
      </c>
      <c r="F352" s="1">
        <v>38.284999999999997</v>
      </c>
      <c r="G352" s="1">
        <v>15.627000000000001</v>
      </c>
      <c r="H352" s="1">
        <v>18.817</v>
      </c>
      <c r="I352" s="2">
        <f t="shared" si="10"/>
        <v>2.0345963756177921</v>
      </c>
      <c r="J352" s="2">
        <f t="shared" si="11"/>
        <v>0.83047244512940432</v>
      </c>
      <c r="K352" s="1" t="s">
        <v>604</v>
      </c>
    </row>
    <row r="353" spans="1:11" x14ac:dyDescent="0.4">
      <c r="A353" t="s">
        <v>460</v>
      </c>
      <c r="B353" t="s">
        <v>341</v>
      </c>
      <c r="D353" s="1" t="s">
        <v>420</v>
      </c>
      <c r="F353" s="1">
        <v>38.567</v>
      </c>
      <c r="G353" s="1">
        <v>15.664999999999999</v>
      </c>
      <c r="H353" s="1">
        <v>18.876000000000001</v>
      </c>
      <c r="I353" s="2">
        <f t="shared" si="10"/>
        <v>2.0431765204492476</v>
      </c>
      <c r="J353" s="2">
        <f t="shared" si="11"/>
        <v>0.82988980716253435</v>
      </c>
      <c r="K353" s="1" t="s">
        <v>597</v>
      </c>
    </row>
    <row r="354" spans="1:11" x14ac:dyDescent="0.4">
      <c r="A354" t="s">
        <v>460</v>
      </c>
      <c r="B354" t="s">
        <v>341</v>
      </c>
      <c r="D354" s="1" t="s">
        <v>409</v>
      </c>
      <c r="F354" s="1">
        <v>38.823</v>
      </c>
      <c r="G354" s="1">
        <v>15.67</v>
      </c>
      <c r="H354" s="1">
        <v>18.885999999999999</v>
      </c>
      <c r="I354" s="2">
        <f t="shared" si="10"/>
        <v>2.05564968759928</v>
      </c>
      <c r="J354" s="2">
        <f t="shared" si="11"/>
        <v>0.82971513290267929</v>
      </c>
      <c r="K354" s="1" t="s">
        <v>599</v>
      </c>
    </row>
    <row r="355" spans="1:11" x14ac:dyDescent="0.4">
      <c r="A355" t="s">
        <v>460</v>
      </c>
      <c r="B355" t="s">
        <v>341</v>
      </c>
      <c r="D355" s="1" t="s">
        <v>421</v>
      </c>
      <c r="F355" s="1">
        <v>38.127000000000002</v>
      </c>
      <c r="G355" s="1">
        <v>15.567</v>
      </c>
      <c r="H355" s="1">
        <v>18.768000000000001</v>
      </c>
      <c r="I355" s="2">
        <f t="shared" si="10"/>
        <v>2.031489769820972</v>
      </c>
      <c r="J355" s="2">
        <f t="shared" si="11"/>
        <v>0.82944373401534521</v>
      </c>
      <c r="K355" s="1" t="s">
        <v>605</v>
      </c>
    </row>
    <row r="356" spans="1:11" x14ac:dyDescent="0.4">
      <c r="A356" t="s">
        <v>460</v>
      </c>
      <c r="B356" t="s">
        <v>341</v>
      </c>
      <c r="D356" s="1" t="s">
        <v>422</v>
      </c>
      <c r="F356" s="1">
        <v>38.345999999999997</v>
      </c>
      <c r="G356" s="1">
        <v>15.643000000000001</v>
      </c>
      <c r="H356" s="1">
        <v>18.876000000000001</v>
      </c>
      <c r="I356" s="2">
        <f t="shared" si="10"/>
        <v>2.0314685314685312</v>
      </c>
      <c r="J356" s="2">
        <f t="shared" si="11"/>
        <v>0.82872430599703328</v>
      </c>
      <c r="K356" s="1" t="s">
        <v>606</v>
      </c>
    </row>
    <row r="357" spans="1:11" x14ac:dyDescent="0.4">
      <c r="A357" t="s">
        <v>460</v>
      </c>
      <c r="B357" t="s">
        <v>341</v>
      </c>
      <c r="D357" s="1" t="s">
        <v>423</v>
      </c>
      <c r="F357" s="1">
        <v>38.127000000000002</v>
      </c>
      <c r="G357" s="1">
        <v>15.57</v>
      </c>
      <c r="H357" s="1">
        <v>18.792000000000002</v>
      </c>
      <c r="I357" s="2">
        <f t="shared" si="10"/>
        <v>2.0288952745849298</v>
      </c>
      <c r="J357" s="2">
        <f t="shared" si="11"/>
        <v>0.82854406130268199</v>
      </c>
      <c r="K357" s="1" t="s">
        <v>578</v>
      </c>
    </row>
    <row r="358" spans="1:11" x14ac:dyDescent="0.4">
      <c r="A358" t="s">
        <v>460</v>
      </c>
      <c r="B358" t="s">
        <v>341</v>
      </c>
      <c r="D358" s="1" t="s">
        <v>424</v>
      </c>
      <c r="F358" s="1">
        <v>39.326000000000001</v>
      </c>
      <c r="G358" s="1">
        <v>15.647</v>
      </c>
      <c r="H358" s="1">
        <v>18.907</v>
      </c>
      <c r="I358" s="2">
        <f t="shared" si="10"/>
        <v>2.0799703813402446</v>
      </c>
      <c r="J358" s="2">
        <f t="shared" si="11"/>
        <v>0.82757708785106043</v>
      </c>
      <c r="K358" s="1" t="s">
        <v>580</v>
      </c>
    </row>
    <row r="359" spans="1:11" x14ac:dyDescent="0.4">
      <c r="A359" t="s">
        <v>460</v>
      </c>
      <c r="B359" t="s">
        <v>341</v>
      </c>
      <c r="D359" s="1" t="s">
        <v>425</v>
      </c>
      <c r="F359">
        <v>39.03</v>
      </c>
      <c r="G359">
        <v>15.657</v>
      </c>
      <c r="H359" s="1">
        <v>18.963999999999999</v>
      </c>
      <c r="I359" s="2">
        <f t="shared" si="10"/>
        <v>2.058110103353723</v>
      </c>
      <c r="J359" s="2">
        <f t="shared" si="11"/>
        <v>0.82561695844758498</v>
      </c>
      <c r="K359" s="1" t="s">
        <v>525</v>
      </c>
    </row>
    <row r="360" spans="1:11" x14ac:dyDescent="0.4">
      <c r="A360" t="s">
        <v>460</v>
      </c>
      <c r="B360" t="s">
        <v>341</v>
      </c>
      <c r="D360" s="1" t="s">
        <v>426</v>
      </c>
      <c r="F360" s="1">
        <v>38.576000000000001</v>
      </c>
      <c r="G360" s="1">
        <v>15.715</v>
      </c>
      <c r="H360" s="1">
        <v>19.106000000000002</v>
      </c>
      <c r="I360" s="2">
        <f t="shared" si="10"/>
        <v>2.019051606825081</v>
      </c>
      <c r="J360" s="2">
        <f t="shared" si="11"/>
        <v>0.82251648696744473</v>
      </c>
      <c r="K360" s="1" t="s">
        <v>607</v>
      </c>
    </row>
    <row r="361" spans="1:11" x14ac:dyDescent="0.4">
      <c r="A361" s="1" t="s">
        <v>461</v>
      </c>
      <c r="B361" s="1" t="s">
        <v>427</v>
      </c>
      <c r="C361"/>
      <c r="D361" t="s">
        <v>428</v>
      </c>
      <c r="E361" t="s">
        <v>429</v>
      </c>
      <c r="F361">
        <v>37.369</v>
      </c>
      <c r="G361">
        <v>15.356999999999999</v>
      </c>
      <c r="H361">
        <v>16.995999999999999</v>
      </c>
      <c r="I361" s="2">
        <f t="shared" si="10"/>
        <v>2.198693810308308</v>
      </c>
      <c r="J361" s="2">
        <f t="shared" si="11"/>
        <v>0.90356554483407858</v>
      </c>
      <c r="K361" t="s">
        <v>430</v>
      </c>
    </row>
    <row r="362" spans="1:11" x14ac:dyDescent="0.4">
      <c r="A362" s="1" t="s">
        <v>461</v>
      </c>
      <c r="B362" s="1" t="s">
        <v>427</v>
      </c>
      <c r="C362"/>
      <c r="D362" t="s">
        <v>431</v>
      </c>
      <c r="E362" t="s">
        <v>432</v>
      </c>
      <c r="F362">
        <v>37.381999999999998</v>
      </c>
      <c r="G362">
        <v>15.243</v>
      </c>
      <c r="H362">
        <v>16.917000000000002</v>
      </c>
      <c r="I362" s="2">
        <f t="shared" si="10"/>
        <v>2.2097298575397524</v>
      </c>
      <c r="J362" s="2">
        <f t="shared" si="11"/>
        <v>0.90104628480226989</v>
      </c>
      <c r="K362" t="s">
        <v>430</v>
      </c>
    </row>
    <row r="363" spans="1:11" x14ac:dyDescent="0.4">
      <c r="A363" s="1" t="s">
        <v>461</v>
      </c>
      <c r="B363" s="1" t="s">
        <v>427</v>
      </c>
      <c r="C363"/>
      <c r="D363" t="s">
        <v>37</v>
      </c>
      <c r="E363" t="s">
        <v>432</v>
      </c>
      <c r="F363">
        <v>37.381799999999998</v>
      </c>
      <c r="G363">
        <v>15.243</v>
      </c>
      <c r="H363">
        <v>16.917400000000001</v>
      </c>
      <c r="I363" s="2">
        <f t="shared" si="10"/>
        <v>2.2096657878870274</v>
      </c>
      <c r="J363" s="2">
        <f t="shared" si="11"/>
        <v>0.90102498019790278</v>
      </c>
      <c r="K363" t="s">
        <v>433</v>
      </c>
    </row>
    <row r="364" spans="1:11" x14ac:dyDescent="0.4">
      <c r="A364" s="1" t="s">
        <v>461</v>
      </c>
      <c r="B364" s="1" t="s">
        <v>427</v>
      </c>
      <c r="C364"/>
      <c r="D364" t="s">
        <v>434</v>
      </c>
      <c r="E364" t="s">
        <v>429</v>
      </c>
      <c r="F364">
        <v>37.402000000000001</v>
      </c>
      <c r="G364">
        <v>15.359</v>
      </c>
      <c r="H364">
        <v>17.059000000000001</v>
      </c>
      <c r="I364" s="2">
        <f t="shared" si="10"/>
        <v>2.1925083533618617</v>
      </c>
      <c r="J364" s="2">
        <f t="shared" si="11"/>
        <v>0.90034585849111903</v>
      </c>
      <c r="K364" t="s">
        <v>430</v>
      </c>
    </row>
    <row r="365" spans="1:11" x14ac:dyDescent="0.4">
      <c r="A365" s="1" t="s">
        <v>461</v>
      </c>
      <c r="B365" s="1" t="s">
        <v>427</v>
      </c>
      <c r="C365"/>
      <c r="D365" t="s">
        <v>435</v>
      </c>
      <c r="E365" t="s">
        <v>429</v>
      </c>
      <c r="F365">
        <v>37.341999999999999</v>
      </c>
      <c r="G365">
        <v>15.333</v>
      </c>
      <c r="H365">
        <v>17.047000000000001</v>
      </c>
      <c r="I365" s="2">
        <f t="shared" si="10"/>
        <v>2.1905320584267023</v>
      </c>
      <c r="J365" s="2">
        <f t="shared" si="11"/>
        <v>0.8994544494632486</v>
      </c>
      <c r="K365" t="s">
        <v>430</v>
      </c>
    </row>
    <row r="366" spans="1:11" x14ac:dyDescent="0.4">
      <c r="A366" s="1" t="s">
        <v>461</v>
      </c>
      <c r="B366" s="1" t="s">
        <v>427</v>
      </c>
      <c r="C366"/>
      <c r="D366" t="s">
        <v>15</v>
      </c>
      <c r="E366" t="s">
        <v>432</v>
      </c>
      <c r="F366">
        <v>37.765999999999998</v>
      </c>
      <c r="G366">
        <v>15.355</v>
      </c>
      <c r="H366">
        <v>17.071999999999999</v>
      </c>
      <c r="I366" s="2">
        <f t="shared" si="10"/>
        <v>2.2121602624179943</v>
      </c>
      <c r="J366" s="2">
        <f t="shared" si="11"/>
        <v>0.89942596063730096</v>
      </c>
      <c r="K366" t="s">
        <v>433</v>
      </c>
    </row>
    <row r="367" spans="1:11" x14ac:dyDescent="0.4">
      <c r="A367" s="1" t="s">
        <v>461</v>
      </c>
      <c r="B367" s="1" t="s">
        <v>427</v>
      </c>
      <c r="C367"/>
      <c r="D367" t="s">
        <v>37</v>
      </c>
      <c r="E367" t="s">
        <v>436</v>
      </c>
      <c r="F367">
        <v>38.024999999999999</v>
      </c>
      <c r="G367">
        <v>15.682</v>
      </c>
      <c r="H367">
        <v>17.445</v>
      </c>
      <c r="I367" s="2">
        <f t="shared" si="10"/>
        <v>2.1797076526225276</v>
      </c>
      <c r="J367" s="2">
        <f t="shared" si="11"/>
        <v>0.89893952421897394</v>
      </c>
      <c r="K367" t="s">
        <v>430</v>
      </c>
    </row>
    <row r="368" spans="1:11" x14ac:dyDescent="0.4">
      <c r="A368" s="1" t="s">
        <v>461</v>
      </c>
      <c r="B368" t="s">
        <v>427</v>
      </c>
      <c r="C368" t="s">
        <v>437</v>
      </c>
      <c r="D368" t="s">
        <v>438</v>
      </c>
      <c r="E368" t="s">
        <v>437</v>
      </c>
      <c r="F368">
        <v>37.759</v>
      </c>
      <c r="G368">
        <v>15.45</v>
      </c>
      <c r="H368">
        <v>17.202000000000002</v>
      </c>
      <c r="I368" s="2">
        <f t="shared" si="10"/>
        <v>2.1950354609929077</v>
      </c>
      <c r="J368" s="2">
        <f t="shared" si="11"/>
        <v>0.89815137774677345</v>
      </c>
      <c r="K368" s="1" t="s">
        <v>608</v>
      </c>
    </row>
    <row r="369" spans="1:15" x14ac:dyDescent="0.4">
      <c r="A369" s="1" t="s">
        <v>461</v>
      </c>
      <c r="B369" s="1" t="s">
        <v>427</v>
      </c>
      <c r="C369"/>
      <c r="D369" t="s">
        <v>25</v>
      </c>
      <c r="E369" t="s">
        <v>436</v>
      </c>
      <c r="F369">
        <v>38.597000000000001</v>
      </c>
      <c r="G369">
        <v>15.622999999999999</v>
      </c>
      <c r="H369">
        <v>17.395</v>
      </c>
      <c r="I369" s="2">
        <f t="shared" si="10"/>
        <v>2.218855993101466</v>
      </c>
      <c r="J369" s="2">
        <f t="shared" si="11"/>
        <v>0.89813164702500714</v>
      </c>
      <c r="K369" t="s">
        <v>430</v>
      </c>
    </row>
    <row r="370" spans="1:15" x14ac:dyDescent="0.4">
      <c r="A370" s="1" t="s">
        <v>461</v>
      </c>
      <c r="B370" s="1" t="s">
        <v>427</v>
      </c>
      <c r="C370"/>
      <c r="D370" t="s">
        <v>15</v>
      </c>
      <c r="E370" t="s">
        <v>436</v>
      </c>
      <c r="F370">
        <v>38.65</v>
      </c>
      <c r="G370">
        <v>15.67</v>
      </c>
      <c r="H370">
        <v>17.46</v>
      </c>
      <c r="I370" s="2">
        <f t="shared" si="10"/>
        <v>2.2136311569301257</v>
      </c>
      <c r="J370" s="2">
        <f t="shared" si="11"/>
        <v>0.89747995418098503</v>
      </c>
      <c r="K370" t="s">
        <v>430</v>
      </c>
    </row>
    <row r="371" spans="1:15" x14ac:dyDescent="0.4">
      <c r="A371" s="1" t="s">
        <v>461</v>
      </c>
      <c r="B371" s="1" t="s">
        <v>427</v>
      </c>
      <c r="C371"/>
      <c r="D371" t="s">
        <v>14</v>
      </c>
      <c r="E371" t="s">
        <v>436</v>
      </c>
      <c r="F371">
        <v>38.159999999999997</v>
      </c>
      <c r="G371">
        <v>15.478</v>
      </c>
      <c r="H371">
        <v>17.265000000000001</v>
      </c>
      <c r="I371" s="2">
        <f t="shared" si="10"/>
        <v>2.2102519548218935</v>
      </c>
      <c r="J371" s="2">
        <f t="shared" si="11"/>
        <v>0.89649580075296842</v>
      </c>
      <c r="K371" t="s">
        <v>430</v>
      </c>
    </row>
    <row r="372" spans="1:15" x14ac:dyDescent="0.4">
      <c r="A372" s="1" t="s">
        <v>461</v>
      </c>
      <c r="B372" s="1" t="s">
        <v>427</v>
      </c>
      <c r="C372"/>
      <c r="D372" t="s">
        <v>439</v>
      </c>
      <c r="E372" t="s">
        <v>429</v>
      </c>
      <c r="F372">
        <v>37.465000000000003</v>
      </c>
      <c r="G372">
        <v>15.353999999999999</v>
      </c>
      <c r="H372">
        <v>17.204000000000001</v>
      </c>
      <c r="I372" s="2">
        <f t="shared" si="10"/>
        <v>2.1776912345966055</v>
      </c>
      <c r="J372" s="2">
        <f t="shared" si="11"/>
        <v>0.89246686817019294</v>
      </c>
      <c r="K372" t="s">
        <v>430</v>
      </c>
    </row>
    <row r="373" spans="1:15" x14ac:dyDescent="0.4">
      <c r="A373" s="1" t="s">
        <v>461</v>
      </c>
      <c r="B373" s="1" t="s">
        <v>427</v>
      </c>
      <c r="C373"/>
      <c r="D373" t="s">
        <v>13</v>
      </c>
      <c r="E373" t="s">
        <v>436</v>
      </c>
      <c r="F373">
        <v>38.332000000000001</v>
      </c>
      <c r="G373">
        <v>15.401999999999999</v>
      </c>
      <c r="H373">
        <v>17.315000000000001</v>
      </c>
      <c r="I373" s="2">
        <f t="shared" si="10"/>
        <v>2.2138030609298296</v>
      </c>
      <c r="J373" s="2">
        <f t="shared" si="11"/>
        <v>0.88951775916835107</v>
      </c>
      <c r="K373" t="s">
        <v>430</v>
      </c>
    </row>
    <row r="374" spans="1:15" x14ac:dyDescent="0.4">
      <c r="A374" s="1" t="s">
        <v>461</v>
      </c>
      <c r="B374" t="s">
        <v>427</v>
      </c>
      <c r="C374" t="s">
        <v>437</v>
      </c>
      <c r="D374" t="s">
        <v>440</v>
      </c>
      <c r="E374" t="s">
        <v>437</v>
      </c>
      <c r="F374">
        <v>37.731999999999999</v>
      </c>
      <c r="G374">
        <v>15.448</v>
      </c>
      <c r="H374">
        <v>17.457000000000001</v>
      </c>
      <c r="I374" s="2">
        <f t="shared" si="10"/>
        <v>2.161425216245632</v>
      </c>
      <c r="J374" s="2">
        <f t="shared" si="11"/>
        <v>0.88491722518187543</v>
      </c>
      <c r="K374" s="1" t="s">
        <v>609</v>
      </c>
    </row>
    <row r="375" spans="1:15" x14ac:dyDescent="0.4">
      <c r="A375" s="1" t="s">
        <v>461</v>
      </c>
      <c r="B375" s="1" t="s">
        <v>427</v>
      </c>
      <c r="C375"/>
      <c r="D375" t="s">
        <v>441</v>
      </c>
      <c r="E375" t="s">
        <v>429</v>
      </c>
      <c r="F375">
        <v>38.058</v>
      </c>
      <c r="G375">
        <v>15.403</v>
      </c>
      <c r="H375">
        <v>17.439</v>
      </c>
      <c r="I375" s="2">
        <f t="shared" si="10"/>
        <v>2.1823499053844833</v>
      </c>
      <c r="J375" s="2">
        <f t="shared" si="11"/>
        <v>0.88325018636389707</v>
      </c>
      <c r="K375" t="s">
        <v>430</v>
      </c>
    </row>
    <row r="376" spans="1:15" x14ac:dyDescent="0.4">
      <c r="A376" s="1" t="s">
        <v>461</v>
      </c>
      <c r="B376" t="s">
        <v>427</v>
      </c>
      <c r="C376" t="s">
        <v>437</v>
      </c>
      <c r="D376" t="s">
        <v>442</v>
      </c>
      <c r="E376" t="s">
        <v>437</v>
      </c>
      <c r="F376">
        <v>38.173999999999999</v>
      </c>
      <c r="G376">
        <v>15.452</v>
      </c>
      <c r="H376">
        <v>17.495000000000001</v>
      </c>
      <c r="I376" s="2">
        <f t="shared" si="10"/>
        <v>2.1819948556730493</v>
      </c>
      <c r="J376" s="2">
        <f t="shared" si="11"/>
        <v>0.88322377822234921</v>
      </c>
      <c r="K376" s="1" t="s">
        <v>610</v>
      </c>
    </row>
    <row r="377" spans="1:15" x14ac:dyDescent="0.4">
      <c r="A377" s="1" t="s">
        <v>461</v>
      </c>
      <c r="B377" s="1" t="s">
        <v>427</v>
      </c>
      <c r="C377"/>
      <c r="D377" t="s">
        <v>443</v>
      </c>
      <c r="E377" t="s">
        <v>429</v>
      </c>
      <c r="F377">
        <v>37.673999999999999</v>
      </c>
      <c r="G377">
        <v>15.121</v>
      </c>
      <c r="H377">
        <v>17.120999999999999</v>
      </c>
      <c r="I377" s="2">
        <f t="shared" si="10"/>
        <v>2.2004555808656039</v>
      </c>
      <c r="J377" s="2">
        <f t="shared" si="11"/>
        <v>0.88318439343496302</v>
      </c>
      <c r="K377" t="s">
        <v>430</v>
      </c>
    </row>
    <row r="378" spans="1:15" x14ac:dyDescent="0.4">
      <c r="A378" s="1" t="s">
        <v>461</v>
      </c>
      <c r="B378" s="1" t="s">
        <v>427</v>
      </c>
      <c r="D378" t="s">
        <v>444</v>
      </c>
      <c r="E378" t="s">
        <v>429</v>
      </c>
      <c r="F378">
        <v>38.409999999999997</v>
      </c>
      <c r="G378">
        <v>15.486000000000001</v>
      </c>
      <c r="H378">
        <v>17.550999999999998</v>
      </c>
      <c r="I378" s="2">
        <f t="shared" si="10"/>
        <v>2.1884792889294058</v>
      </c>
      <c r="J378" s="2">
        <f t="shared" si="11"/>
        <v>0.88234288644521697</v>
      </c>
      <c r="K378" t="s">
        <v>430</v>
      </c>
    </row>
    <row r="379" spans="1:15" x14ac:dyDescent="0.4">
      <c r="A379" s="1" t="s">
        <v>461</v>
      </c>
      <c r="B379" t="s">
        <v>427</v>
      </c>
      <c r="C379" t="s">
        <v>437</v>
      </c>
      <c r="D379" t="s">
        <v>445</v>
      </c>
      <c r="E379" t="s">
        <v>437</v>
      </c>
      <c r="F379">
        <v>37.712000000000003</v>
      </c>
      <c r="G379">
        <v>15.465999999999999</v>
      </c>
      <c r="H379">
        <v>17.556999999999999</v>
      </c>
      <c r="I379" s="2">
        <f t="shared" si="10"/>
        <v>2.1479751666002169</v>
      </c>
      <c r="J379" s="2">
        <f t="shared" si="11"/>
        <v>0.88090220424901755</v>
      </c>
      <c r="K379" s="1" t="s">
        <v>611</v>
      </c>
    </row>
    <row r="380" spans="1:15" x14ac:dyDescent="0.4">
      <c r="A380" s="1" t="s">
        <v>461</v>
      </c>
      <c r="B380" s="1" t="s">
        <v>427</v>
      </c>
      <c r="C380"/>
      <c r="D380" t="s">
        <v>446</v>
      </c>
      <c r="E380" t="s">
        <v>429</v>
      </c>
      <c r="F380">
        <v>39.671999999999997</v>
      </c>
      <c r="G380">
        <v>15.881</v>
      </c>
      <c r="H380">
        <v>18.059000000000001</v>
      </c>
      <c r="I380" s="2">
        <f t="shared" si="10"/>
        <v>2.1967993798106202</v>
      </c>
      <c r="J380" s="2">
        <f t="shared" si="11"/>
        <v>0.87939531535522453</v>
      </c>
      <c r="K380" t="s">
        <v>430</v>
      </c>
      <c r="O380" s="6"/>
    </row>
    <row r="381" spans="1:15" x14ac:dyDescent="0.4">
      <c r="A381" s="1" t="s">
        <v>461</v>
      </c>
      <c r="B381" t="s">
        <v>427</v>
      </c>
      <c r="D381" t="s">
        <v>37</v>
      </c>
      <c r="F381" s="1">
        <v>38.204000000000001</v>
      </c>
      <c r="G381" s="1">
        <v>15.563000000000001</v>
      </c>
      <c r="H381" s="1">
        <v>17.747</v>
      </c>
      <c r="I381" s="2">
        <f t="shared" si="10"/>
        <v>2.1527018651039613</v>
      </c>
      <c r="J381" s="2">
        <f t="shared" si="11"/>
        <v>0.87693694708964898</v>
      </c>
      <c r="K381" s="1" t="s">
        <v>612</v>
      </c>
    </row>
    <row r="382" spans="1:15" x14ac:dyDescent="0.4">
      <c r="A382" s="1" t="s">
        <v>461</v>
      </c>
      <c r="B382" t="s">
        <v>427</v>
      </c>
      <c r="D382" t="s">
        <v>25</v>
      </c>
      <c r="F382" s="1">
        <v>37.805999999999997</v>
      </c>
      <c r="G382" s="1">
        <v>15.452</v>
      </c>
      <c r="H382" s="1">
        <v>17.672000000000001</v>
      </c>
      <c r="I382" s="2">
        <f t="shared" si="10"/>
        <v>2.1393164327750109</v>
      </c>
      <c r="J382" s="2">
        <f t="shared" si="11"/>
        <v>0.87437754640108645</v>
      </c>
      <c r="K382" s="1" t="s">
        <v>613</v>
      </c>
    </row>
    <row r="383" spans="1:15" x14ac:dyDescent="0.4">
      <c r="A383" s="1" t="s">
        <v>461</v>
      </c>
      <c r="B383" t="s">
        <v>427</v>
      </c>
      <c r="C383" t="s">
        <v>447</v>
      </c>
      <c r="D383" t="s">
        <v>448</v>
      </c>
      <c r="E383" t="s">
        <v>447</v>
      </c>
      <c r="F383">
        <v>37.893999999999998</v>
      </c>
      <c r="G383">
        <v>15.465</v>
      </c>
      <c r="H383">
        <v>17.690999999999999</v>
      </c>
      <c r="I383" s="2">
        <f t="shared" si="10"/>
        <v>2.1419931038381099</v>
      </c>
      <c r="J383" s="2">
        <f t="shared" si="11"/>
        <v>0.87417330846192987</v>
      </c>
      <c r="K383" t="s">
        <v>449</v>
      </c>
    </row>
    <row r="384" spans="1:15" x14ac:dyDescent="0.4">
      <c r="A384" s="1" t="s">
        <v>461</v>
      </c>
      <c r="B384" t="s">
        <v>427</v>
      </c>
      <c r="D384" s="1" t="s">
        <v>12</v>
      </c>
      <c r="F384" s="1">
        <v>37.893999999999998</v>
      </c>
      <c r="G384" s="1">
        <v>15.465</v>
      </c>
      <c r="H384" s="1">
        <v>17.690999999999999</v>
      </c>
      <c r="I384" s="2">
        <f t="shared" si="10"/>
        <v>2.1419931038381099</v>
      </c>
      <c r="J384" s="2">
        <f t="shared" si="11"/>
        <v>0.87417330846192987</v>
      </c>
      <c r="K384" s="1" t="s">
        <v>615</v>
      </c>
    </row>
    <row r="385" spans="1:27" x14ac:dyDescent="0.4">
      <c r="A385" s="1" t="s">
        <v>461</v>
      </c>
      <c r="B385" t="s">
        <v>427</v>
      </c>
      <c r="D385" t="s">
        <v>13</v>
      </c>
      <c r="F385" s="1">
        <v>37.941000000000003</v>
      </c>
      <c r="G385" s="1">
        <v>15.465</v>
      </c>
      <c r="H385" s="1">
        <v>17.699000000000002</v>
      </c>
      <c r="I385" s="2">
        <f t="shared" si="10"/>
        <v>2.1436804339228206</v>
      </c>
      <c r="J385" s="2">
        <f t="shared" si="11"/>
        <v>0.87377817955816706</v>
      </c>
      <c r="K385" s="1" t="s">
        <v>616</v>
      </c>
    </row>
    <row r="386" spans="1:27" x14ac:dyDescent="0.4">
      <c r="A386" s="1" t="s">
        <v>461</v>
      </c>
      <c r="B386" t="s">
        <v>427</v>
      </c>
      <c r="C386" t="s">
        <v>437</v>
      </c>
      <c r="D386" t="s">
        <v>450</v>
      </c>
      <c r="E386" t="s">
        <v>437</v>
      </c>
      <c r="F386">
        <v>38.131</v>
      </c>
      <c r="G386">
        <v>15.473000000000001</v>
      </c>
      <c r="H386">
        <v>17.727</v>
      </c>
      <c r="I386" s="2">
        <f t="shared" ref="I386:I398" si="12">F386/H386</f>
        <v>2.1510125796807129</v>
      </c>
      <c r="J386" s="2">
        <f t="shared" ref="J386:J398" si="13">G386/H386</f>
        <v>0.87284932588706499</v>
      </c>
      <c r="K386" s="1" t="s">
        <v>617</v>
      </c>
    </row>
    <row r="387" spans="1:27" x14ac:dyDescent="0.4">
      <c r="A387" s="1" t="s">
        <v>461</v>
      </c>
      <c r="B387" t="s">
        <v>427</v>
      </c>
      <c r="C387" t="s">
        <v>447</v>
      </c>
      <c r="D387" t="s">
        <v>451</v>
      </c>
      <c r="E387" t="s">
        <v>447</v>
      </c>
      <c r="F387">
        <v>37.856999999999999</v>
      </c>
      <c r="G387">
        <v>15.452</v>
      </c>
      <c r="H387">
        <v>17.707000000000001</v>
      </c>
      <c r="I387" s="2">
        <f t="shared" si="12"/>
        <v>2.1379680352403003</v>
      </c>
      <c r="J387" s="2">
        <f t="shared" si="13"/>
        <v>0.87264923476591172</v>
      </c>
      <c r="K387" t="s">
        <v>449</v>
      </c>
    </row>
    <row r="388" spans="1:27" x14ac:dyDescent="0.4">
      <c r="A388" s="1" t="s">
        <v>461</v>
      </c>
      <c r="B388" t="s">
        <v>427</v>
      </c>
      <c r="D388" t="s">
        <v>10</v>
      </c>
      <c r="F388" s="1">
        <v>37.856999999999999</v>
      </c>
      <c r="G388" s="1">
        <v>15.452</v>
      </c>
      <c r="H388" s="1">
        <v>17.707000000000001</v>
      </c>
      <c r="I388" s="2">
        <f t="shared" si="12"/>
        <v>2.1379680352403003</v>
      </c>
      <c r="J388" s="2">
        <f t="shared" si="13"/>
        <v>0.87264923476591172</v>
      </c>
      <c r="K388" s="1" t="s">
        <v>618</v>
      </c>
    </row>
    <row r="389" spans="1:27" x14ac:dyDescent="0.4">
      <c r="A389" s="1" t="s">
        <v>461</v>
      </c>
      <c r="B389" s="1" t="s">
        <v>427</v>
      </c>
      <c r="C389"/>
      <c r="D389" t="s">
        <v>452</v>
      </c>
      <c r="E389" t="s">
        <v>429</v>
      </c>
      <c r="F389">
        <v>38.082999999999998</v>
      </c>
      <c r="G389">
        <v>15.302</v>
      </c>
      <c r="H389">
        <v>17.547000000000001</v>
      </c>
      <c r="I389" s="2">
        <f t="shared" si="12"/>
        <v>2.1703425086909442</v>
      </c>
      <c r="J389" s="2">
        <f t="shared" si="13"/>
        <v>0.87205790163560715</v>
      </c>
      <c r="K389" t="s">
        <v>430</v>
      </c>
    </row>
    <row r="390" spans="1:27" x14ac:dyDescent="0.4">
      <c r="A390" s="1" t="s">
        <v>461</v>
      </c>
      <c r="B390" s="1" t="s">
        <v>427</v>
      </c>
      <c r="C390"/>
      <c r="D390" t="s">
        <v>453</v>
      </c>
      <c r="E390" t="s">
        <v>429</v>
      </c>
      <c r="F390">
        <v>38.805999999999997</v>
      </c>
      <c r="G390">
        <v>15.302</v>
      </c>
      <c r="H390">
        <v>17.553999999999998</v>
      </c>
      <c r="I390" s="2">
        <f t="shared" si="12"/>
        <v>2.2106642360715507</v>
      </c>
      <c r="J390" s="2">
        <f t="shared" si="13"/>
        <v>0.87171015153241427</v>
      </c>
      <c r="K390" t="s">
        <v>430</v>
      </c>
    </row>
    <row r="391" spans="1:27" x14ac:dyDescent="0.4">
      <c r="A391" s="1" t="s">
        <v>461</v>
      </c>
      <c r="B391" t="s">
        <v>427</v>
      </c>
      <c r="D391" t="s">
        <v>20</v>
      </c>
      <c r="F391" s="1">
        <v>37.924999999999997</v>
      </c>
      <c r="G391" s="1">
        <v>15.464</v>
      </c>
      <c r="H391" s="1">
        <v>17.751999999999999</v>
      </c>
      <c r="I391" s="2">
        <f t="shared" si="12"/>
        <v>2.1363789995493465</v>
      </c>
      <c r="J391" s="2">
        <f t="shared" si="13"/>
        <v>0.87111311401532232</v>
      </c>
      <c r="K391" s="1" t="s">
        <v>619</v>
      </c>
      <c r="L391" s="4"/>
      <c r="M391" s="4"/>
      <c r="N391" s="4"/>
      <c r="O391" s="4"/>
      <c r="P391" s="4"/>
      <c r="Q391" s="4"/>
      <c r="R391" s="4"/>
      <c r="S391" s="4"/>
      <c r="T391" s="4"/>
      <c r="U391" s="4"/>
      <c r="V391" s="4"/>
      <c r="W391" s="4"/>
      <c r="X391" s="4"/>
      <c r="Y391" s="4"/>
      <c r="Z391" s="4"/>
      <c r="AA391" s="4"/>
    </row>
    <row r="392" spans="1:27" x14ac:dyDescent="0.4">
      <c r="A392" s="1" t="s">
        <v>461</v>
      </c>
      <c r="B392" t="s">
        <v>427</v>
      </c>
      <c r="C392" t="s">
        <v>437</v>
      </c>
      <c r="D392" t="s">
        <v>454</v>
      </c>
      <c r="E392" t="s">
        <v>437</v>
      </c>
      <c r="F392">
        <v>38.255000000000003</v>
      </c>
      <c r="G392">
        <v>15.472</v>
      </c>
      <c r="H392">
        <v>17.795999999999999</v>
      </c>
      <c r="I392" s="2">
        <f t="shared" si="12"/>
        <v>2.1496403686221623</v>
      </c>
      <c r="J392" s="2">
        <f t="shared" si="13"/>
        <v>0.86940885592267925</v>
      </c>
      <c r="K392" s="1" t="s">
        <v>621</v>
      </c>
    </row>
    <row r="393" spans="1:27" x14ac:dyDescent="0.4">
      <c r="A393" s="1" t="s">
        <v>461</v>
      </c>
      <c r="B393" t="s">
        <v>427</v>
      </c>
      <c r="C393" t="s">
        <v>447</v>
      </c>
      <c r="D393" t="s">
        <v>455</v>
      </c>
      <c r="E393" t="s">
        <v>447</v>
      </c>
      <c r="F393">
        <v>39.552</v>
      </c>
      <c r="G393">
        <v>15.494</v>
      </c>
      <c r="H393">
        <v>17.844999999999999</v>
      </c>
      <c r="I393" s="2">
        <f t="shared" si="12"/>
        <v>2.2164191650322222</v>
      </c>
      <c r="J393" s="2">
        <f t="shared" si="13"/>
        <v>0.86825441300084061</v>
      </c>
      <c r="K393" t="s">
        <v>449</v>
      </c>
    </row>
    <row r="394" spans="1:27" x14ac:dyDescent="0.4">
      <c r="A394" s="1" t="s">
        <v>461</v>
      </c>
      <c r="B394" t="s">
        <v>427</v>
      </c>
      <c r="D394" s="1" t="s">
        <v>18</v>
      </c>
      <c r="F394" s="1">
        <v>39.552</v>
      </c>
      <c r="G394" s="1">
        <v>15.494</v>
      </c>
      <c r="H394" s="1">
        <v>17.844999999999999</v>
      </c>
      <c r="I394" s="2">
        <f t="shared" si="12"/>
        <v>2.2164191650322222</v>
      </c>
      <c r="J394" s="2">
        <f t="shared" si="13"/>
        <v>0.86825441300084061</v>
      </c>
      <c r="K394" s="1" t="s">
        <v>620</v>
      </c>
    </row>
    <row r="395" spans="1:27" x14ac:dyDescent="0.4">
      <c r="A395" s="1" t="s">
        <v>461</v>
      </c>
      <c r="B395" t="s">
        <v>427</v>
      </c>
      <c r="D395" t="s">
        <v>14</v>
      </c>
      <c r="F395" s="1">
        <v>38.033999999999999</v>
      </c>
      <c r="G395" s="1">
        <v>15.484</v>
      </c>
      <c r="H395" s="1">
        <v>17.934999999999999</v>
      </c>
      <c r="I395" s="2">
        <f t="shared" si="12"/>
        <v>2.120657931419013</v>
      </c>
      <c r="J395" s="2">
        <f t="shared" si="13"/>
        <v>0.86333983830499028</v>
      </c>
      <c r="K395" s="1" t="s">
        <v>614</v>
      </c>
    </row>
    <row r="396" spans="1:27" x14ac:dyDescent="0.4">
      <c r="A396" s="1" t="s">
        <v>461</v>
      </c>
      <c r="B396" t="s">
        <v>427</v>
      </c>
      <c r="D396" t="s">
        <v>19</v>
      </c>
      <c r="F396" s="1">
        <v>38.179000000000002</v>
      </c>
      <c r="G396" s="1">
        <v>15.507</v>
      </c>
      <c r="H396" s="1">
        <v>17.963000000000001</v>
      </c>
      <c r="I396" s="2">
        <f t="shared" si="12"/>
        <v>2.1254244836608582</v>
      </c>
      <c r="J396" s="2">
        <f t="shared" si="13"/>
        <v>0.86327450871235312</v>
      </c>
      <c r="K396" s="1" t="s">
        <v>568</v>
      </c>
    </row>
    <row r="397" spans="1:27" x14ac:dyDescent="0.4">
      <c r="A397" s="1" t="s">
        <v>461</v>
      </c>
      <c r="B397" t="s">
        <v>427</v>
      </c>
      <c r="D397" t="s">
        <v>15</v>
      </c>
      <c r="F397" s="1">
        <v>38.192</v>
      </c>
      <c r="G397" s="1">
        <v>15.506</v>
      </c>
      <c r="H397" s="1">
        <v>18.068999999999999</v>
      </c>
      <c r="I397" s="2">
        <f t="shared" si="12"/>
        <v>2.1136753555813828</v>
      </c>
      <c r="J397" s="2">
        <f t="shared" si="13"/>
        <v>0.85815485084952137</v>
      </c>
      <c r="K397" s="1" t="s">
        <v>570</v>
      </c>
    </row>
    <row r="398" spans="1:27" x14ac:dyDescent="0.4">
      <c r="A398" s="1" t="s">
        <v>461</v>
      </c>
      <c r="B398" s="1" t="s">
        <v>427</v>
      </c>
      <c r="C398"/>
      <c r="D398" t="s">
        <v>456</v>
      </c>
      <c r="E398" t="s">
        <v>429</v>
      </c>
      <c r="F398">
        <v>37.116999999999997</v>
      </c>
      <c r="G398">
        <v>14.849</v>
      </c>
      <c r="H398">
        <v>17.478999999999999</v>
      </c>
      <c r="I398" s="2">
        <f t="shared" si="12"/>
        <v>2.1235196521540134</v>
      </c>
      <c r="J398" s="2">
        <f t="shared" si="13"/>
        <v>0.84953372618570866</v>
      </c>
      <c r="K398" t="s">
        <v>430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李一一</dc:creator>
  <cp:lastModifiedBy>JINGYU LI</cp:lastModifiedBy>
  <dcterms:created xsi:type="dcterms:W3CDTF">2015-06-05T18:19:34Z</dcterms:created>
  <dcterms:modified xsi:type="dcterms:W3CDTF">2026-05-11T13:31:16Z</dcterms:modified>
</cp:coreProperties>
</file>